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FAAC\faac-dashboard\"/>
    </mc:Choice>
  </mc:AlternateContent>
  <xr:revisionPtr revIDLastSave="0" documentId="13_ncr:1_{7521977E-EC40-43BB-8E1A-DF52B6463984}" xr6:coauthVersionLast="47" xr6:coauthVersionMax="47" xr10:uidLastSave="{00000000-0000-0000-0000-000000000000}"/>
  <bookViews>
    <workbookView xWindow="-108" yWindow="-108" windowWidth="23256" windowHeight="13176" activeTab="9" xr2:uid="{00000000-000D-0000-FFFF-FFFF00000000}"/>
  </bookViews>
  <sheets>
    <sheet name="2016" sheetId="8" r:id="rId1"/>
    <sheet name="2017" sheetId="1" r:id="rId2"/>
    <sheet name="2018" sheetId="2" r:id="rId3"/>
    <sheet name="2019" sheetId="3" r:id="rId4"/>
    <sheet name="2020" sheetId="4" r:id="rId5"/>
    <sheet name="2021" sheetId="5" r:id="rId6"/>
    <sheet name="2022" sheetId="11" r:id="rId7"/>
    <sheet name="2023" sheetId="12" r:id="rId8"/>
    <sheet name="2024" sheetId="13" r:id="rId9"/>
    <sheet name="2025" sheetId="14" r:id="rId10"/>
    <sheet name="2026" sheetId="15" r:id="rId11"/>
    <sheet name="Sheet1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6" l="1"/>
  <c r="K39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2" i="15"/>
  <c r="AA39" i="14"/>
  <c r="AB39" i="14"/>
  <c r="AA39" i="13"/>
  <c r="AC39" i="13" s="1"/>
  <c r="AA39" i="12"/>
  <c r="AC39" i="12"/>
  <c r="AA39" i="11"/>
  <c r="AC39" i="11"/>
  <c r="AA39" i="5"/>
  <c r="AC39" i="5" s="1"/>
  <c r="AD39" i="5"/>
  <c r="AA39" i="4"/>
  <c r="AA39" i="3"/>
  <c r="AC39" i="3" s="1"/>
  <c r="AA39" i="2"/>
  <c r="AC39" i="2" s="1"/>
  <c r="AA39" i="1"/>
  <c r="AC39" i="1"/>
  <c r="AA39" i="8"/>
  <c r="AC39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2" i="8"/>
  <c r="AB3" i="14"/>
  <c r="AB4" i="14"/>
  <c r="AB5" i="14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2" i="14"/>
  <c r="AD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2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2" i="13"/>
  <c r="AD3" i="12"/>
  <c r="AD4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2" i="12"/>
  <c r="AC3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2" i="12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2" i="11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2" i="4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2" i="3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2" i="2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2" i="1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2" i="8"/>
  <c r="AA3" i="14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2" i="14"/>
  <c r="AA3" i="13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2" i="13"/>
  <c r="AA3" i="12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2" i="12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2" i="11"/>
  <c r="AA3" i="5" l="1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2" i="5"/>
  <c r="AA3" i="4"/>
  <c r="AC3" i="4" s="1"/>
  <c r="AA4" i="4"/>
  <c r="AC4" i="4" s="1"/>
  <c r="AA5" i="4"/>
  <c r="AC5" i="4" s="1"/>
  <c r="AA6" i="4"/>
  <c r="AC6" i="4" s="1"/>
  <c r="AA7" i="4"/>
  <c r="AC7" i="4" s="1"/>
  <c r="AA8" i="4"/>
  <c r="AC8" i="4" s="1"/>
  <c r="AA9" i="4"/>
  <c r="AC9" i="4" s="1"/>
  <c r="AA10" i="4"/>
  <c r="AC10" i="4" s="1"/>
  <c r="AA11" i="4"/>
  <c r="AC11" i="4" s="1"/>
  <c r="AA12" i="4"/>
  <c r="AC12" i="4" s="1"/>
  <c r="AA13" i="4"/>
  <c r="AC13" i="4" s="1"/>
  <c r="AA14" i="4"/>
  <c r="AC14" i="4" s="1"/>
  <c r="AA15" i="4"/>
  <c r="AC15" i="4" s="1"/>
  <c r="AA16" i="4"/>
  <c r="AC16" i="4" s="1"/>
  <c r="AA17" i="4"/>
  <c r="AC17" i="4" s="1"/>
  <c r="AA18" i="4"/>
  <c r="AC18" i="4" s="1"/>
  <c r="AA19" i="4"/>
  <c r="AC19" i="4" s="1"/>
  <c r="AA20" i="4"/>
  <c r="AC20" i="4" s="1"/>
  <c r="AA21" i="4"/>
  <c r="AC21" i="4" s="1"/>
  <c r="AA22" i="4"/>
  <c r="AC22" i="4" s="1"/>
  <c r="AA23" i="4"/>
  <c r="AC23" i="4" s="1"/>
  <c r="AA24" i="4"/>
  <c r="AC24" i="4" s="1"/>
  <c r="AA25" i="4"/>
  <c r="AC25" i="4" s="1"/>
  <c r="AA26" i="4"/>
  <c r="AC26" i="4" s="1"/>
  <c r="AA27" i="4"/>
  <c r="AC27" i="4" s="1"/>
  <c r="AA28" i="4"/>
  <c r="AC28" i="4" s="1"/>
  <c r="AA29" i="4"/>
  <c r="AC29" i="4" s="1"/>
  <c r="AA30" i="4"/>
  <c r="AC30" i="4" s="1"/>
  <c r="AA31" i="4"/>
  <c r="AC31" i="4" s="1"/>
  <c r="AA32" i="4"/>
  <c r="AC32" i="4" s="1"/>
  <c r="AA33" i="4"/>
  <c r="AC33" i="4" s="1"/>
  <c r="AA34" i="4"/>
  <c r="AC34" i="4" s="1"/>
  <c r="AA35" i="4"/>
  <c r="AC35" i="4" s="1"/>
  <c r="AA36" i="4"/>
  <c r="AC36" i="4" s="1"/>
  <c r="AA37" i="4"/>
  <c r="AC37" i="4" s="1"/>
  <c r="AA38" i="4"/>
  <c r="AC38" i="4" s="1"/>
  <c r="AA2" i="4"/>
  <c r="AC2" i="4" s="1"/>
  <c r="AA3" i="3"/>
  <c r="AC3" i="3" s="1"/>
  <c r="AA4" i="3"/>
  <c r="AC4" i="3" s="1"/>
  <c r="AA5" i="3"/>
  <c r="AC5" i="3" s="1"/>
  <c r="AA6" i="3"/>
  <c r="AC6" i="3" s="1"/>
  <c r="AA7" i="3"/>
  <c r="AC7" i="3" s="1"/>
  <c r="AA8" i="3"/>
  <c r="AC8" i="3" s="1"/>
  <c r="AA9" i="3"/>
  <c r="AC9" i="3" s="1"/>
  <c r="AA10" i="3"/>
  <c r="AC10" i="3" s="1"/>
  <c r="AA11" i="3"/>
  <c r="AC11" i="3" s="1"/>
  <c r="AA12" i="3"/>
  <c r="AC12" i="3" s="1"/>
  <c r="AA13" i="3"/>
  <c r="AC13" i="3" s="1"/>
  <c r="AA14" i="3"/>
  <c r="AC14" i="3" s="1"/>
  <c r="AA15" i="3"/>
  <c r="AC15" i="3" s="1"/>
  <c r="AA16" i="3"/>
  <c r="AC16" i="3" s="1"/>
  <c r="AA17" i="3"/>
  <c r="AC17" i="3" s="1"/>
  <c r="AA18" i="3"/>
  <c r="AC18" i="3" s="1"/>
  <c r="AA19" i="3"/>
  <c r="AC19" i="3" s="1"/>
  <c r="AA20" i="3"/>
  <c r="AC20" i="3" s="1"/>
  <c r="AA21" i="3"/>
  <c r="AC21" i="3" s="1"/>
  <c r="AA22" i="3"/>
  <c r="AC22" i="3" s="1"/>
  <c r="AA23" i="3"/>
  <c r="AC23" i="3" s="1"/>
  <c r="AA24" i="3"/>
  <c r="AC24" i="3" s="1"/>
  <c r="AA25" i="3"/>
  <c r="AC25" i="3" s="1"/>
  <c r="AA26" i="3"/>
  <c r="AC26" i="3" s="1"/>
  <c r="AA27" i="3"/>
  <c r="AC27" i="3" s="1"/>
  <c r="AA28" i="3"/>
  <c r="AC28" i="3" s="1"/>
  <c r="AA29" i="3"/>
  <c r="AC29" i="3" s="1"/>
  <c r="AA30" i="3"/>
  <c r="AC30" i="3" s="1"/>
  <c r="AA31" i="3"/>
  <c r="AC31" i="3" s="1"/>
  <c r="AA32" i="3"/>
  <c r="AC32" i="3" s="1"/>
  <c r="AA33" i="3"/>
  <c r="AC33" i="3" s="1"/>
  <c r="AA34" i="3"/>
  <c r="AC34" i="3" s="1"/>
  <c r="AA35" i="3"/>
  <c r="AC35" i="3" s="1"/>
  <c r="AA36" i="3"/>
  <c r="AC36" i="3" s="1"/>
  <c r="AA37" i="3"/>
  <c r="AC37" i="3" s="1"/>
  <c r="AA38" i="3"/>
  <c r="AC38" i="3" s="1"/>
  <c r="AA2" i="3"/>
  <c r="AC2" i="3" s="1"/>
  <c r="AC34" i="5" l="1"/>
  <c r="AD34" i="5"/>
  <c r="AD22" i="5"/>
  <c r="AC22" i="5"/>
  <c r="AD6" i="5"/>
  <c r="AC6" i="5"/>
  <c r="AD37" i="5"/>
  <c r="AC37" i="5"/>
  <c r="AD33" i="5"/>
  <c r="AC33" i="5"/>
  <c r="AD29" i="5"/>
  <c r="AC29" i="5"/>
  <c r="AD25" i="5"/>
  <c r="AC25" i="5"/>
  <c r="AD21" i="5"/>
  <c r="AC21" i="5"/>
  <c r="AD17" i="5"/>
  <c r="AC17" i="5"/>
  <c r="AD13" i="5"/>
  <c r="AC13" i="5"/>
  <c r="AD9" i="5"/>
  <c r="AC9" i="5"/>
  <c r="AD5" i="5"/>
  <c r="AC5" i="5"/>
  <c r="AD30" i="5"/>
  <c r="AC30" i="5"/>
  <c r="AC18" i="5"/>
  <c r="AD18" i="5"/>
  <c r="AD10" i="5"/>
  <c r="AC10" i="5"/>
  <c r="AD36" i="5"/>
  <c r="AC36" i="5"/>
  <c r="AD32" i="5"/>
  <c r="AC32" i="5"/>
  <c r="AD28" i="5"/>
  <c r="AC28" i="5"/>
  <c r="AD24" i="5"/>
  <c r="AC24" i="5"/>
  <c r="AD20" i="5"/>
  <c r="AC20" i="5"/>
  <c r="AD16" i="5"/>
  <c r="AC16" i="5"/>
  <c r="AD12" i="5"/>
  <c r="AC12" i="5"/>
  <c r="AD8" i="5"/>
  <c r="AC8" i="5"/>
  <c r="AD4" i="5"/>
  <c r="AC4" i="5"/>
  <c r="AC38" i="5"/>
  <c r="AD38" i="5"/>
  <c r="AC26" i="5"/>
  <c r="AD26" i="5"/>
  <c r="AC14" i="5"/>
  <c r="AD14" i="5"/>
  <c r="AC2" i="5"/>
  <c r="AD2" i="5"/>
  <c r="AC35" i="5"/>
  <c r="AD35" i="5"/>
  <c r="AC31" i="5"/>
  <c r="AD31" i="5"/>
  <c r="AC27" i="5"/>
  <c r="AD27" i="5"/>
  <c r="AC23" i="5"/>
  <c r="AD23" i="5"/>
  <c r="AC19" i="5"/>
  <c r="AD19" i="5"/>
  <c r="AC15" i="5"/>
  <c r="AD15" i="5"/>
  <c r="AC11" i="5"/>
  <c r="AD11" i="5"/>
  <c r="AC7" i="5"/>
  <c r="AD7" i="5"/>
  <c r="AC3" i="5"/>
  <c r="AD3" i="5"/>
  <c r="AA3" i="1"/>
  <c r="AC3" i="1" s="1"/>
  <c r="AA4" i="1"/>
  <c r="AC4" i="1" s="1"/>
  <c r="AA5" i="1"/>
  <c r="AC5" i="1" s="1"/>
  <c r="AA6" i="1"/>
  <c r="AC6" i="1" s="1"/>
  <c r="AA7" i="1"/>
  <c r="AC7" i="1" s="1"/>
  <c r="AA8" i="1"/>
  <c r="AC8" i="1" s="1"/>
  <c r="AA9" i="1"/>
  <c r="AC9" i="1" s="1"/>
  <c r="AA10" i="1"/>
  <c r="AC10" i="1" s="1"/>
  <c r="AA11" i="1"/>
  <c r="AC11" i="1" s="1"/>
  <c r="AA12" i="1"/>
  <c r="AC12" i="1" s="1"/>
  <c r="AA13" i="1"/>
  <c r="AC13" i="1" s="1"/>
  <c r="AA14" i="1"/>
  <c r="AC14" i="1" s="1"/>
  <c r="AA15" i="1"/>
  <c r="AC15" i="1" s="1"/>
  <c r="AA16" i="1"/>
  <c r="AC16" i="1" s="1"/>
  <c r="AA17" i="1"/>
  <c r="AC17" i="1" s="1"/>
  <c r="AA18" i="1"/>
  <c r="AC18" i="1" s="1"/>
  <c r="AA19" i="1"/>
  <c r="AC19" i="1" s="1"/>
  <c r="AA20" i="1"/>
  <c r="AC20" i="1" s="1"/>
  <c r="AA21" i="1"/>
  <c r="AC21" i="1" s="1"/>
  <c r="AA22" i="1"/>
  <c r="AC22" i="1" s="1"/>
  <c r="AA23" i="1"/>
  <c r="AC23" i="1" s="1"/>
  <c r="AA24" i="1"/>
  <c r="AC24" i="1" s="1"/>
  <c r="AA25" i="1"/>
  <c r="AC25" i="1" s="1"/>
  <c r="AA26" i="1"/>
  <c r="AC26" i="1" s="1"/>
  <c r="AA27" i="1"/>
  <c r="AC27" i="1" s="1"/>
  <c r="AA28" i="1"/>
  <c r="AC28" i="1" s="1"/>
  <c r="AA29" i="1"/>
  <c r="AC29" i="1" s="1"/>
  <c r="AA30" i="1"/>
  <c r="AC30" i="1" s="1"/>
  <c r="AA31" i="1"/>
  <c r="AC31" i="1" s="1"/>
  <c r="AA32" i="1"/>
  <c r="AC32" i="1" s="1"/>
  <c r="AA33" i="1"/>
  <c r="AC33" i="1" s="1"/>
  <c r="AA34" i="1"/>
  <c r="AC34" i="1" s="1"/>
  <c r="AA35" i="1"/>
  <c r="AC35" i="1" s="1"/>
  <c r="AA36" i="1"/>
  <c r="AC36" i="1" s="1"/>
  <c r="AA37" i="1"/>
  <c r="AC37" i="1" s="1"/>
  <c r="AA38" i="1"/>
  <c r="AC38" i="1" s="1"/>
  <c r="AA2" i="1"/>
  <c r="AC2" i="1" s="1"/>
  <c r="AB37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7" i="8"/>
  <c r="AB6" i="8"/>
  <c r="AB4" i="8"/>
  <c r="AB3" i="8"/>
  <c r="AB2" i="8"/>
  <c r="AA3" i="8" l="1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2" i="8"/>
  <c r="AA3" i="2"/>
  <c r="AC3" i="2" s="1"/>
  <c r="AA4" i="2"/>
  <c r="AC4" i="2" s="1"/>
  <c r="AA5" i="2"/>
  <c r="AC5" i="2" s="1"/>
  <c r="AA6" i="2"/>
  <c r="AC6" i="2" s="1"/>
  <c r="AA7" i="2"/>
  <c r="AC7" i="2" s="1"/>
  <c r="AA8" i="2"/>
  <c r="AC8" i="2" s="1"/>
  <c r="AA9" i="2"/>
  <c r="AC9" i="2" s="1"/>
  <c r="AA10" i="2"/>
  <c r="AC10" i="2" s="1"/>
  <c r="AA11" i="2"/>
  <c r="AC11" i="2" s="1"/>
  <c r="AA12" i="2"/>
  <c r="AC12" i="2" s="1"/>
  <c r="AA13" i="2"/>
  <c r="AC13" i="2" s="1"/>
  <c r="AA14" i="2"/>
  <c r="AC14" i="2" s="1"/>
  <c r="AA15" i="2"/>
  <c r="AC15" i="2" s="1"/>
  <c r="AA16" i="2"/>
  <c r="AC16" i="2" s="1"/>
  <c r="AA17" i="2"/>
  <c r="AC17" i="2" s="1"/>
  <c r="AA18" i="2"/>
  <c r="AC18" i="2" s="1"/>
  <c r="AA19" i="2"/>
  <c r="AC19" i="2" s="1"/>
  <c r="AA20" i="2"/>
  <c r="AC20" i="2" s="1"/>
  <c r="AA21" i="2"/>
  <c r="AC21" i="2" s="1"/>
  <c r="AA22" i="2"/>
  <c r="AC22" i="2" s="1"/>
  <c r="AA23" i="2"/>
  <c r="AC23" i="2" s="1"/>
  <c r="AA24" i="2"/>
  <c r="AC24" i="2" s="1"/>
  <c r="AA25" i="2"/>
  <c r="AC25" i="2" s="1"/>
  <c r="AA26" i="2"/>
  <c r="AC26" i="2" s="1"/>
  <c r="AA27" i="2"/>
  <c r="AC27" i="2" s="1"/>
  <c r="AA28" i="2"/>
  <c r="AC28" i="2" s="1"/>
  <c r="AA29" i="2"/>
  <c r="AC29" i="2" s="1"/>
  <c r="AA30" i="2"/>
  <c r="AC30" i="2" s="1"/>
  <c r="AA31" i="2"/>
  <c r="AC31" i="2" s="1"/>
  <c r="AA32" i="2"/>
  <c r="AC32" i="2" s="1"/>
  <c r="AA33" i="2"/>
  <c r="AC33" i="2" s="1"/>
  <c r="AA34" i="2"/>
  <c r="AC34" i="2" s="1"/>
  <c r="AA35" i="2"/>
  <c r="AC35" i="2" s="1"/>
  <c r="AA36" i="2"/>
  <c r="AC36" i="2" s="1"/>
  <c r="AA37" i="2"/>
  <c r="AC37" i="2" s="1"/>
  <c r="AA38" i="2"/>
  <c r="AC38" i="2" s="1"/>
  <c r="AA2" i="2"/>
  <c r="AC2" i="2" s="1"/>
</calcChain>
</file>

<file path=xl/sharedStrings.xml><?xml version="1.0" encoding="utf-8"?>
<sst xmlns="http://schemas.openxmlformats.org/spreadsheetml/2006/main" count="722" uniqueCount="190">
  <si>
    <t>S/N</t>
  </si>
  <si>
    <t>State</t>
  </si>
  <si>
    <t>January (Net)</t>
  </si>
  <si>
    <t>January (Gross)</t>
  </si>
  <si>
    <t>February (Net)</t>
  </si>
  <si>
    <t>February (Gross)</t>
  </si>
  <si>
    <t>March (Net)</t>
  </si>
  <si>
    <t>March (Gross)</t>
  </si>
  <si>
    <t>April (Net)</t>
  </si>
  <si>
    <t>April (Gross)</t>
  </si>
  <si>
    <t>May (Net)</t>
  </si>
  <si>
    <t>May (Gross)</t>
  </si>
  <si>
    <t>June (Net)</t>
  </si>
  <si>
    <t>June (Gross)</t>
  </si>
  <si>
    <t>July (Net)</t>
  </si>
  <si>
    <t>July (Gross)</t>
  </si>
  <si>
    <t>August (Net)</t>
  </si>
  <si>
    <t>August (Gross)</t>
  </si>
  <si>
    <t>September (Net)</t>
  </si>
  <si>
    <t>September (Gross)</t>
  </si>
  <si>
    <t>October (Net)</t>
  </si>
  <si>
    <t>October (Gross)</t>
  </si>
  <si>
    <t>November (Net)</t>
  </si>
  <si>
    <t>November (Gross)</t>
  </si>
  <si>
    <t>December (Net)</t>
  </si>
  <si>
    <t>December (Gross)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</si>
  <si>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</si>
  <si>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</si>
  <si>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</si>
  <si>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</si>
  <si>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</si>
  <si>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</si>
  <si>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</si>
  <si>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</si>
  <si>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</si>
  <si>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</si>
  <si>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</si>
  <si>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</si>
  <si>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</si>
  <si>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</si>
  <si>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</si>
  <si>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</si>
  <si>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</si>
  <si>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</si>
  <si>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</si>
  <si>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</si>
  <si>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</si>
  <si>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</si>
  <si>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</si>
  <si>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</si>
  <si>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</si>
  <si>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</si>
  <si>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</si>
  <si>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</si>
  <si>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</si>
  <si>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</si>
  <si>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</si>
  <si>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</si>
  <si>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</si>
  <si>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</si>
  <si>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</si>
  <si>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</si>
  <si>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</t>
  </si>
  <si>
    <t>September,(Net)</t>
  </si>
  <si>
    <t>September,(Gross)</t>
  </si>
  <si>
    <t>October.(Net)</t>
  </si>
  <si>
    <t>Total Net</t>
  </si>
  <si>
    <t>Total IGR</t>
  </si>
  <si>
    <t>SNo</t>
  </si>
  <si>
    <t>Jan_gross_allocation</t>
  </si>
  <si>
    <t>Jan_net</t>
  </si>
  <si>
    <t>feb_gross_allocation</t>
  </si>
  <si>
    <t>feb_net</t>
  </si>
  <si>
    <t>mar_gross_allocation</t>
  </si>
  <si>
    <t>march_net</t>
  </si>
  <si>
    <t>apr_gross_allocation</t>
  </si>
  <si>
    <t>apr_net</t>
  </si>
  <si>
    <t>may_gross_allocation</t>
  </si>
  <si>
    <t>May_net</t>
  </si>
  <si>
    <t>Jun_ Gross Allocation</t>
  </si>
  <si>
    <t>June_net</t>
  </si>
  <si>
    <t>Jul_gross_ allocation</t>
  </si>
  <si>
    <t>Jul_net</t>
  </si>
  <si>
    <t>aug_gross _allocation</t>
  </si>
  <si>
    <t>aug_net</t>
  </si>
  <si>
    <t>sep_gross_allocation</t>
  </si>
  <si>
    <t>sep_net</t>
  </si>
  <si>
    <t>oct _gross_allocation</t>
  </si>
  <si>
    <t>oct_net</t>
  </si>
  <si>
    <t>nov_gross_allocation</t>
  </si>
  <si>
    <t>Nov_net</t>
  </si>
  <si>
    <t>dec_gross_allocation</t>
  </si>
  <si>
    <t>dec_net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</si>
  <si>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</si>
  <si>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</si>
  <si>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</si>
  <si>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</si>
  <si>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</si>
  <si>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</si>
  <si>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</si>
  <si>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</si>
  <si>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</si>
  <si>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</si>
  <si>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</si>
  <si>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</si>
  <si>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</si>
  <si>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</si>
  <si>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</si>
  <si>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</si>
  <si>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</si>
  <si>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</si>
  <si>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</si>
  <si>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</si>
  <si>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</si>
  <si>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</si>
  <si>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</si>
  <si>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</si>
  <si>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</si>
  <si>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</si>
  <si>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</si>
  <si>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</si>
  <si>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</si>
  <si>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</si>
  <si>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</si>
  <si>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</si>
  <si>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</si>
  <si>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</si>
  <si>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</si>
  <si>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</si>
  <si>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jan_gross</t>
  </si>
  <si>
    <t>jan_net</t>
  </si>
  <si>
    <t>feb_gross</t>
  </si>
  <si>
    <t>mar_gross</t>
  </si>
  <si>
    <t>mar_net</t>
  </si>
  <si>
    <t>apr_gross</t>
  </si>
  <si>
    <t>May_Gross</t>
  </si>
  <si>
    <t>June gross</t>
  </si>
  <si>
    <t>June net</t>
  </si>
  <si>
    <t>july gross</t>
  </si>
  <si>
    <t>julynet</t>
  </si>
  <si>
    <t>Aug_gross</t>
  </si>
  <si>
    <t>sept_gross</t>
  </si>
  <si>
    <t>septnet</t>
  </si>
  <si>
    <t>Oct_gross</t>
  </si>
  <si>
    <t>octnet</t>
  </si>
  <si>
    <t>Nov_gross</t>
  </si>
  <si>
    <t>Dec_gross</t>
  </si>
  <si>
    <t>dec net</t>
  </si>
  <si>
    <t xml:space="preserve"> 7,022,136,017.83 8</t>
  </si>
  <si>
    <t xml:space="preserve"> 6,172,578,737.65 1</t>
  </si>
  <si>
    <t xml:space="preserve"> 5,371,534,838.71 7</t>
  </si>
  <si>
    <t>jannet</t>
  </si>
  <si>
    <t>Gross feb</t>
  </si>
  <si>
    <t>febnet</t>
  </si>
  <si>
    <t>Gross mar</t>
  </si>
  <si>
    <t>marnet</t>
  </si>
  <si>
    <t>Gross apr</t>
  </si>
  <si>
    <t>april_net</t>
  </si>
  <si>
    <t>may_gross</t>
  </si>
  <si>
    <t>maynet</t>
  </si>
  <si>
    <t>Gross june</t>
  </si>
  <si>
    <t>netjune</t>
  </si>
  <si>
    <t>Gross July</t>
  </si>
  <si>
    <t>netJuly</t>
  </si>
  <si>
    <t>Gross August</t>
  </si>
  <si>
    <t>augnet</t>
  </si>
  <si>
    <t>Gross Sept</t>
  </si>
  <si>
    <t>sept net</t>
  </si>
  <si>
    <t>Gross Oct</t>
  </si>
  <si>
    <t>net oct</t>
  </si>
  <si>
    <t>Gross Nov</t>
  </si>
  <si>
    <t>net Nov</t>
  </si>
  <si>
    <t>Gross Dec</t>
  </si>
  <si>
    <t xml:space="preserve">12,339,660,840.37
</t>
  </si>
  <si>
    <t>jan_gross_allocation</t>
  </si>
  <si>
    <t>jun_gross_allocation</t>
  </si>
  <si>
    <t>junnet</t>
  </si>
  <si>
    <t>jul_gross_allocation</t>
  </si>
  <si>
    <t>aug_gross_allocation</t>
  </si>
  <si>
    <t>oct_gross_allocation</t>
  </si>
  <si>
    <t>Oct_net</t>
  </si>
  <si>
    <t>nov net</t>
  </si>
  <si>
    <t>Jan_gross</t>
  </si>
  <si>
    <t>Gross april</t>
  </si>
  <si>
    <t>april net</t>
  </si>
  <si>
    <t>Total Net USD</t>
  </si>
  <si>
    <t>Total IGR USD</t>
  </si>
  <si>
    <t>Total net for now</t>
  </si>
  <si>
    <t>total faac</t>
  </si>
  <si>
    <t>aprnet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</si>
</sst>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" fontId="3" fillId="0" borderId="1" xfId="0" applyNumberFormat="1" applyFont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4" fontId="3" fillId="3" borderId="1" xfId="0" applyNumberFormat="1" applyFont="1" applyFill="1" applyBorder="1"/>
    <xf numFmtId="4" fontId="0" fillId="0" borderId="0" xfId="0" applyNumberFormat="1"/>
    <xf numFmtId="43" fontId="0" fillId="0" borderId="0" xfId="1" applyFont="1"/>
    <xf numFmtId="4" fontId="5" fillId="0" borderId="0" xfId="0" applyNumberFormat="1" applyFont="1"/>
    <xf numFmtId="43" fontId="0" fillId="0" borderId="0" xfId="0" applyNumberFormat="1"/>
  </cellXfs>
  <cellStyles count="4">
    <cellStyle name="Comma" xfId="1" builtinId="3"/>
    <cellStyle name="Comma 2" xfId="3" xr:uid="{DCFADE87-38C2-400E-BF2D-68C0C6BAC8F6}"/>
    <cellStyle name="Normal" xfId="0" builtinId="0"/>
    <cellStyle name="Normal 2" xfId="2" xr:uid="{920131EC-477A-4111-926B-1A96204AD7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712C-5C91-483E-9A7B-5FD3D710B134}">
  <dimension ref="A1:AD50"/>
  <sheetViews>
    <sheetView topLeftCell="W31" zoomScale="115" zoomScaleNormal="115" workbookViewId="0">
      <selection activeCell="AC39" sqref="AC39"/>
    </sheetView>
  </sheetViews>
  <sheetFormatPr defaultColWidth="21.21875" defaultRowHeight="14.4" x14ac:dyDescent="0.3"/>
  <sheetData>
    <row r="1" spans="1:30" ht="24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63</v>
      </c>
      <c r="T1" s="3" t="s">
        <v>64</v>
      </c>
      <c r="U1" s="3" t="s">
        <v>65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66</v>
      </c>
      <c r="AB1" s="3" t="s">
        <v>67</v>
      </c>
      <c r="AC1" s="3" t="s">
        <v>185</v>
      </c>
      <c r="AD1" s="3" t="s">
        <v>186</v>
      </c>
    </row>
    <row r="2" spans="1:30" ht="15" x14ac:dyDescent="0.35">
      <c r="A2" s="5">
        <v>1</v>
      </c>
      <c r="B2" s="5" t="s">
        <v>26</v>
      </c>
      <c r="C2" s="10">
        <v>2277642562.5500002</v>
      </c>
      <c r="D2" s="10">
        <v>2661403026.54</v>
      </c>
      <c r="E2" s="10">
        <v>1938447217.5599999</v>
      </c>
      <c r="F2" s="10">
        <v>2294256300.5500002</v>
      </c>
      <c r="G2" s="10">
        <v>2056356618.3599999</v>
      </c>
      <c r="H2" s="10">
        <v>2197902844.3200002</v>
      </c>
      <c r="I2" s="10">
        <v>2080023525.21</v>
      </c>
      <c r="J2" s="10">
        <v>2131597155.5799999</v>
      </c>
      <c r="K2" s="10">
        <v>1923982456.53</v>
      </c>
      <c r="L2" s="10">
        <v>2252384182.5799999</v>
      </c>
      <c r="M2" s="10">
        <v>3550924481.3499999</v>
      </c>
      <c r="N2" s="10">
        <v>3879326207.4000001</v>
      </c>
      <c r="O2" s="10">
        <v>3219815506.75</v>
      </c>
      <c r="P2" s="10">
        <v>3559883599.46</v>
      </c>
      <c r="Q2" s="10">
        <v>3007450514.25</v>
      </c>
      <c r="R2" s="10">
        <v>3351543406.8499999</v>
      </c>
      <c r="S2" s="10">
        <v>2637594250.6999998</v>
      </c>
      <c r="T2" s="10">
        <v>2981687143.3099999</v>
      </c>
      <c r="U2" s="10">
        <v>2796054784.3000002</v>
      </c>
      <c r="V2" s="10">
        <v>3135915379.3099999</v>
      </c>
      <c r="W2" s="11">
        <v>2532539708.0344</v>
      </c>
      <c r="X2" s="11">
        <v>2872400303.0444002</v>
      </c>
      <c r="Y2" s="6">
        <v>2537016629.7406001</v>
      </c>
      <c r="Z2" s="6">
        <v>2907475798.6705999</v>
      </c>
      <c r="AA2" s="10">
        <f>SUM(C2,E2,G2,I2,K2,M2,O2,Q2,S2,U2,W2,Y2)</f>
        <v>30557848255.335003</v>
      </c>
      <c r="AB2" s="13">
        <f>AA2+Z2</f>
        <v>33465324054.005604</v>
      </c>
      <c r="AC2" s="11">
        <f>AA2/253</f>
        <v>120782008.9143676</v>
      </c>
      <c r="AD2" s="13">
        <f>AB2/253</f>
        <v>132274008.11859922</v>
      </c>
    </row>
    <row r="3" spans="1:30" ht="15" x14ac:dyDescent="0.35">
      <c r="A3" s="5">
        <v>2</v>
      </c>
      <c r="B3" s="5" t="s">
        <v>27</v>
      </c>
      <c r="C3" s="10">
        <v>2223018469.3899999</v>
      </c>
      <c r="D3" s="10">
        <v>2574173860.4099998</v>
      </c>
      <c r="E3" s="10">
        <v>2032039683.9000001</v>
      </c>
      <c r="F3" s="10">
        <v>2383195074.9200001</v>
      </c>
      <c r="G3" s="10">
        <v>2019457373.3399999</v>
      </c>
      <c r="H3" s="10">
        <v>2130228190.8099999</v>
      </c>
      <c r="I3" s="10">
        <v>2019720057.6300001</v>
      </c>
      <c r="J3" s="10">
        <v>2040518279.51</v>
      </c>
      <c r="K3" s="10">
        <v>1828758173.6099999</v>
      </c>
      <c r="L3" s="10">
        <v>2179913564.6300001</v>
      </c>
      <c r="M3" s="10">
        <v>3535546645.0700002</v>
      </c>
      <c r="N3" s="10">
        <v>3886702036.0900002</v>
      </c>
      <c r="O3" s="10">
        <v>3045058307.9299998</v>
      </c>
      <c r="P3" s="10">
        <v>3396213694.9499998</v>
      </c>
      <c r="Q3" s="10">
        <v>3147609635.5</v>
      </c>
      <c r="R3" s="10">
        <v>3518234313.1399999</v>
      </c>
      <c r="S3" s="11">
        <v>2540523513.8099999</v>
      </c>
      <c r="T3" s="10">
        <v>2911148191.4499998</v>
      </c>
      <c r="U3" s="10">
        <v>2523857023.9699998</v>
      </c>
      <c r="V3" s="10">
        <v>2894481701.6100001</v>
      </c>
      <c r="W3" s="11">
        <v>2349552120.3554001</v>
      </c>
      <c r="X3" s="11">
        <v>2720176797.9954</v>
      </c>
      <c r="Y3" s="6">
        <v>2454796278.1389999</v>
      </c>
      <c r="Z3" s="6">
        <v>2825420955.7789998</v>
      </c>
      <c r="AA3" s="10">
        <f t="shared" ref="AA3:AA38" si="0">SUM(C3,E3,G3,I3,K3,M3,O3,Q3,S3,U3,W3,Y3)</f>
        <v>29719937282.644405</v>
      </c>
      <c r="AB3" s="13">
        <f t="shared" ref="AB3:AB37" si="1">AA3+Z3</f>
        <v>32545358238.423405</v>
      </c>
      <c r="AC3" s="11">
        <f t="shared" ref="AC3:AC39" si="2">AA3/253</f>
        <v>117470107.83653915</v>
      </c>
      <c r="AD3" s="13">
        <f t="shared" ref="AD3:AD38" si="3">AB3/253</f>
        <v>128637779.59851149</v>
      </c>
    </row>
    <row r="4" spans="1:30" ht="15" x14ac:dyDescent="0.35">
      <c r="A4" s="5">
        <v>3</v>
      </c>
      <c r="B4" s="5" t="s">
        <v>28</v>
      </c>
      <c r="C4" s="10">
        <v>8556683831.8000002</v>
      </c>
      <c r="D4" s="10">
        <v>9688812513.2000008</v>
      </c>
      <c r="E4" s="10">
        <v>8945542072.3600006</v>
      </c>
      <c r="F4" s="10">
        <v>10077670753.76</v>
      </c>
      <c r="G4" s="10">
        <v>8268425533.1300001</v>
      </c>
      <c r="H4" s="10">
        <v>8803091468.1499996</v>
      </c>
      <c r="I4" s="10">
        <v>6567421599.3900003</v>
      </c>
      <c r="J4" s="10">
        <v>7009179526.6999998</v>
      </c>
      <c r="K4" s="10">
        <v>6847573681.8699999</v>
      </c>
      <c r="L4" s="10">
        <v>8032388574.2700005</v>
      </c>
      <c r="M4" s="10">
        <v>9161091074.3400002</v>
      </c>
      <c r="N4" s="10">
        <v>10345905966.74</v>
      </c>
      <c r="O4" s="11">
        <v>11264224023.76</v>
      </c>
      <c r="P4" s="10">
        <v>12322363142.41</v>
      </c>
      <c r="Q4" s="10">
        <v>13854814393.370001</v>
      </c>
      <c r="R4" s="10">
        <v>14934350658.85</v>
      </c>
      <c r="S4" s="10">
        <v>8716467657.6900005</v>
      </c>
      <c r="T4" s="10">
        <v>9891014218.7900009</v>
      </c>
      <c r="U4" s="10">
        <v>6132764937.7600002</v>
      </c>
      <c r="V4" s="10">
        <v>7212311203.2399998</v>
      </c>
      <c r="W4" s="11">
        <v>5375206523.9225006</v>
      </c>
      <c r="X4" s="11">
        <v>6454752789.4025002</v>
      </c>
      <c r="Y4" s="6">
        <v>9124129943.6559982</v>
      </c>
      <c r="Z4" s="6">
        <v>10203676209.136</v>
      </c>
      <c r="AA4" s="10">
        <f t="shared" si="0"/>
        <v>102814345273.04849</v>
      </c>
      <c r="AB4" s="13">
        <f t="shared" si="1"/>
        <v>113018021482.18449</v>
      </c>
      <c r="AC4" s="11">
        <f t="shared" si="2"/>
        <v>406380811.35592288</v>
      </c>
      <c r="AD4" s="13">
        <f t="shared" si="3"/>
        <v>446711547.36041301</v>
      </c>
    </row>
    <row r="5" spans="1:30" ht="15" x14ac:dyDescent="0.35">
      <c r="A5" s="5">
        <v>4</v>
      </c>
      <c r="B5" s="5" t="s">
        <v>29</v>
      </c>
      <c r="C5" s="10">
        <v>2518002235.2399998</v>
      </c>
      <c r="D5" s="10">
        <v>2648635317.0300002</v>
      </c>
      <c r="E5" s="10">
        <v>2313676693.3699999</v>
      </c>
      <c r="F5" s="10">
        <v>2444309775.1599998</v>
      </c>
      <c r="G5" s="10">
        <v>2061410835.0999999</v>
      </c>
      <c r="H5" s="10">
        <v>2192043916.8899999</v>
      </c>
      <c r="I5" s="10">
        <v>2078478600.5599999</v>
      </c>
      <c r="J5" s="10">
        <v>2119139086.76</v>
      </c>
      <c r="K5" s="10">
        <v>2116807667.1400001</v>
      </c>
      <c r="L5" s="10">
        <v>2247440748.9299998</v>
      </c>
      <c r="M5" s="10">
        <v>3828318933.4000001</v>
      </c>
      <c r="N5" s="10">
        <v>3958952015.1900001</v>
      </c>
      <c r="O5" s="10">
        <v>3332951009.0999999</v>
      </c>
      <c r="P5" s="10">
        <v>3463584780.29</v>
      </c>
      <c r="Q5" s="10">
        <v>3439862523.4899998</v>
      </c>
      <c r="R5" s="10">
        <v>3594360248.6999998</v>
      </c>
      <c r="S5" s="10">
        <v>2814622372.0900002</v>
      </c>
      <c r="T5" s="10">
        <v>2969120097.3000002</v>
      </c>
      <c r="U5" s="10">
        <v>2808691518.3000002</v>
      </c>
      <c r="V5" s="10">
        <v>2963189243.5100002</v>
      </c>
      <c r="W5" s="11">
        <v>2690039669.8775997</v>
      </c>
      <c r="X5" s="11">
        <v>2844537395.0875998</v>
      </c>
      <c r="Y5" s="6">
        <v>2738236622.0594001</v>
      </c>
      <c r="Z5" s="6">
        <v>2892734347.2694001</v>
      </c>
      <c r="AA5" s="10">
        <f t="shared" si="0"/>
        <v>32741098679.726994</v>
      </c>
      <c r="AB5" s="13"/>
      <c r="AC5" s="11">
        <f t="shared" si="2"/>
        <v>129411457.23212251</v>
      </c>
      <c r="AD5" s="13">
        <f t="shared" si="3"/>
        <v>0</v>
      </c>
    </row>
    <row r="6" spans="1:30" ht="15" x14ac:dyDescent="0.35">
      <c r="A6" s="5">
        <v>5</v>
      </c>
      <c r="B6" s="5" t="s">
        <v>30</v>
      </c>
      <c r="C6" s="10">
        <v>2557036752.8299999</v>
      </c>
      <c r="D6" s="10">
        <v>3061663326.79</v>
      </c>
      <c r="E6" s="10">
        <v>2257201944.8800001</v>
      </c>
      <c r="F6" s="10">
        <v>2815995186.8400002</v>
      </c>
      <c r="G6" s="10">
        <v>2152357217.96</v>
      </c>
      <c r="H6" s="10">
        <v>2511915281.75</v>
      </c>
      <c r="I6" s="10">
        <v>2048627045.6900001</v>
      </c>
      <c r="J6" s="10">
        <v>2408185109.48</v>
      </c>
      <c r="K6" s="10">
        <v>1965255213.47</v>
      </c>
      <c r="L6" s="10">
        <v>2577909939.02</v>
      </c>
      <c r="M6" s="10">
        <v>4009274772.4099998</v>
      </c>
      <c r="N6" s="10">
        <v>4621929497.96</v>
      </c>
      <c r="O6" s="10">
        <v>3435444333.8400002</v>
      </c>
      <c r="P6" s="10">
        <v>4048099059.3899999</v>
      </c>
      <c r="Q6" s="10">
        <v>3521306637.6599998</v>
      </c>
      <c r="R6" s="10">
        <v>4166794457.98</v>
      </c>
      <c r="S6" s="10">
        <v>2359071806.0599999</v>
      </c>
      <c r="T6" s="10">
        <v>3450976151.0500002</v>
      </c>
      <c r="U6" s="10">
        <v>2789386858.3699999</v>
      </c>
      <c r="V6" s="10">
        <v>3434874678.4899998</v>
      </c>
      <c r="W6" s="11">
        <v>2442012960.8155999</v>
      </c>
      <c r="X6" s="11">
        <v>3247056676.9755998</v>
      </c>
      <c r="Y6" s="6">
        <v>2430265069.178</v>
      </c>
      <c r="Z6" s="6">
        <v>3323950005.848</v>
      </c>
      <c r="AA6" s="10">
        <f t="shared" si="0"/>
        <v>31967240613.163605</v>
      </c>
      <c r="AB6" s="13">
        <f t="shared" si="1"/>
        <v>35291190619.011604</v>
      </c>
      <c r="AC6" s="11">
        <f t="shared" si="2"/>
        <v>126352729.69629884</v>
      </c>
      <c r="AD6" s="13">
        <f t="shared" si="3"/>
        <v>139490872.01190358</v>
      </c>
    </row>
    <row r="7" spans="1:30" ht="15" x14ac:dyDescent="0.35">
      <c r="A7" s="5">
        <v>6</v>
      </c>
      <c r="B7" s="5" t="s">
        <v>31</v>
      </c>
      <c r="C7" s="10">
        <v>2984326465.6700001</v>
      </c>
      <c r="D7" s="10">
        <v>6032813492.0500002</v>
      </c>
      <c r="E7" s="10">
        <v>2165038996.96</v>
      </c>
      <c r="F7" s="10">
        <v>5499435591.9799995</v>
      </c>
      <c r="G7" s="10">
        <v>2423305895.3200002</v>
      </c>
      <c r="H7" s="10">
        <v>4857311842.9700003</v>
      </c>
      <c r="I7" s="10">
        <v>3396503657.77</v>
      </c>
      <c r="J7" s="10">
        <v>4952754822.0299997</v>
      </c>
      <c r="K7" s="10">
        <v>2816868014.6999998</v>
      </c>
      <c r="L7" s="10">
        <v>5125711312.4499998</v>
      </c>
      <c r="M7" s="10">
        <v>4982419068.5900002</v>
      </c>
      <c r="N7" s="10">
        <v>7291262366.3400002</v>
      </c>
      <c r="O7" s="10">
        <v>6631583608.2799997</v>
      </c>
      <c r="P7" s="10">
        <v>8940436906.0300007</v>
      </c>
      <c r="Q7" s="10">
        <v>7602697416.4700003</v>
      </c>
      <c r="R7" s="10">
        <v>9920006172.8899994</v>
      </c>
      <c r="S7" s="10">
        <v>6355936928.0900002</v>
      </c>
      <c r="T7" s="10">
        <v>8729884909.9799995</v>
      </c>
      <c r="U7" s="10">
        <v>8115359415.0100002</v>
      </c>
      <c r="V7" s="10">
        <v>10432632171.43</v>
      </c>
      <c r="W7" s="11">
        <v>6288750243.7826996</v>
      </c>
      <c r="X7" s="11">
        <v>8606059000.2026997</v>
      </c>
      <c r="Y7" s="6">
        <v>6644847005.8235998</v>
      </c>
      <c r="Z7" s="6">
        <v>8046939968.3936005</v>
      </c>
      <c r="AA7" s="10">
        <f t="shared" si="0"/>
        <v>60407636716.466309</v>
      </c>
      <c r="AB7" s="13">
        <f t="shared" si="1"/>
        <v>68454576684.859909</v>
      </c>
      <c r="AC7" s="11">
        <f t="shared" si="2"/>
        <v>238765362.51567709</v>
      </c>
      <c r="AD7" s="13">
        <f t="shared" si="3"/>
        <v>270571449.3472724</v>
      </c>
    </row>
    <row r="8" spans="1:30" ht="15" x14ac:dyDescent="0.35">
      <c r="A8" s="5">
        <v>7</v>
      </c>
      <c r="B8" s="5" t="s">
        <v>32</v>
      </c>
      <c r="C8" s="10">
        <v>2102936076.3599999</v>
      </c>
      <c r="D8" s="10">
        <v>2870112643.4400001</v>
      </c>
      <c r="E8" s="10">
        <v>1801576491.5999999</v>
      </c>
      <c r="F8" s="10">
        <v>2658725654.27</v>
      </c>
      <c r="G8" s="10">
        <v>1719445807.1500001</v>
      </c>
      <c r="H8" s="10">
        <v>2378353488.1599998</v>
      </c>
      <c r="I8" s="10">
        <v>1742146487.9000001</v>
      </c>
      <c r="J8" s="10">
        <v>2311081573.3200002</v>
      </c>
      <c r="K8" s="10">
        <v>1534960334.0899999</v>
      </c>
      <c r="L8" s="10">
        <v>2450169808.96</v>
      </c>
      <c r="M8" s="10">
        <v>3886383520.6399999</v>
      </c>
      <c r="N8" s="10">
        <v>4433201531.3599997</v>
      </c>
      <c r="O8" s="10">
        <v>3261637624.0799999</v>
      </c>
      <c r="P8" s="10">
        <v>3008455634.8000002</v>
      </c>
      <c r="Q8" s="10">
        <v>3376074759.1399999</v>
      </c>
      <c r="R8" s="10">
        <v>3928467135.6300001</v>
      </c>
      <c r="S8" s="10">
        <v>2725692565.0500002</v>
      </c>
      <c r="T8" s="10">
        <v>3278084941.54</v>
      </c>
      <c r="U8" s="10">
        <v>2700993339.96</v>
      </c>
      <c r="V8" s="10">
        <v>3253385716.4499998</v>
      </c>
      <c r="W8" s="11">
        <v>2447055261.4301004</v>
      </c>
      <c r="X8" s="11">
        <v>3050785435.4201002</v>
      </c>
      <c r="Y8" s="6">
        <v>2544361863.8267002</v>
      </c>
      <c r="Z8" s="6">
        <v>3148092037.8167</v>
      </c>
      <c r="AA8" s="10">
        <f t="shared" si="0"/>
        <v>29843264131.226799</v>
      </c>
      <c r="AB8" s="13">
        <f t="shared" si="1"/>
        <v>32991356169.043499</v>
      </c>
      <c r="AC8" s="11">
        <f t="shared" si="2"/>
        <v>117957565.7360743</v>
      </c>
      <c r="AD8" s="13">
        <f t="shared" si="3"/>
        <v>130400617.26894663</v>
      </c>
    </row>
    <row r="9" spans="1:30" ht="15" x14ac:dyDescent="0.35">
      <c r="A9" s="5">
        <v>8</v>
      </c>
      <c r="B9" s="5" t="s">
        <v>33</v>
      </c>
      <c r="C9" s="10">
        <v>2871125693.0900002</v>
      </c>
      <c r="D9" s="10">
        <v>3080015931.25</v>
      </c>
      <c r="E9" s="10">
        <v>2665210123.0599999</v>
      </c>
      <c r="F9" s="10">
        <v>2874100361.2199998</v>
      </c>
      <c r="G9" s="10">
        <v>2411065267.29</v>
      </c>
      <c r="H9" s="10">
        <v>2550855832.2600002</v>
      </c>
      <c r="I9" s="10">
        <v>2421938137.1700001</v>
      </c>
      <c r="J9" s="10">
        <v>2435052928.3899999</v>
      </c>
      <c r="K9" s="10">
        <v>2147600578.02</v>
      </c>
      <c r="L9" s="10">
        <v>2611082052.8200002</v>
      </c>
      <c r="M9" s="10">
        <v>4260040745.4000001</v>
      </c>
      <c r="N9" s="10">
        <v>4723522220.1999998</v>
      </c>
      <c r="O9" s="10">
        <v>3664747319.77</v>
      </c>
      <c r="P9" s="10">
        <v>4128228794.5700002</v>
      </c>
      <c r="Q9" s="10">
        <v>3906318390.1300001</v>
      </c>
      <c r="R9" s="10">
        <v>4246812768.5900002</v>
      </c>
      <c r="S9" s="10">
        <v>3221492665.48</v>
      </c>
      <c r="T9" s="10">
        <v>3561987043.9400001</v>
      </c>
      <c r="U9" s="10">
        <v>3208373172.1900001</v>
      </c>
      <c r="V9" s="10">
        <v>3548867550.6500001</v>
      </c>
      <c r="W9" s="11">
        <v>2928503706.7586002</v>
      </c>
      <c r="X9" s="11">
        <v>3268998085.2186003</v>
      </c>
      <c r="Y9" s="6">
        <v>3035103489.5349998</v>
      </c>
      <c r="Z9" s="6">
        <v>3375597867.9949999</v>
      </c>
      <c r="AA9" s="10">
        <f t="shared" si="0"/>
        <v>36741519287.8936</v>
      </c>
      <c r="AB9" s="13">
        <f t="shared" si="1"/>
        <v>40117117155.888603</v>
      </c>
      <c r="AC9" s="11">
        <f t="shared" si="2"/>
        <v>145223396.39483637</v>
      </c>
      <c r="AD9" s="13">
        <f t="shared" si="3"/>
        <v>158565680.45805773</v>
      </c>
    </row>
    <row r="10" spans="1:30" ht="15" x14ac:dyDescent="0.35">
      <c r="A10" s="5">
        <v>9</v>
      </c>
      <c r="B10" s="5" t="s">
        <v>34</v>
      </c>
      <c r="C10" s="10">
        <v>1069590720.2</v>
      </c>
      <c r="D10" s="10">
        <v>2552012522.7399998</v>
      </c>
      <c r="E10" s="10">
        <v>967494955.42999995</v>
      </c>
      <c r="F10" s="10">
        <v>2372814225.77</v>
      </c>
      <c r="G10" s="10">
        <v>1229935915.71</v>
      </c>
      <c r="H10" s="10">
        <v>2125996534.96</v>
      </c>
      <c r="I10" s="10">
        <v>1184277246.7</v>
      </c>
      <c r="J10" s="10">
        <v>2030365270.3599999</v>
      </c>
      <c r="K10" s="10">
        <v>804060982.38</v>
      </c>
      <c r="L10" s="10">
        <v>2178564578.1199999</v>
      </c>
      <c r="M10" s="10">
        <v>2651679467.75</v>
      </c>
      <c r="N10" s="10">
        <v>4026183063.4899998</v>
      </c>
      <c r="O10" s="10">
        <v>1987918144.3900001</v>
      </c>
      <c r="P10" s="10">
        <v>3394556544.0300002</v>
      </c>
      <c r="Q10" s="10">
        <v>2042040817.71</v>
      </c>
      <c r="R10" s="10">
        <v>3507009186.7600002</v>
      </c>
      <c r="S10" s="10">
        <v>1437076640.1600001</v>
      </c>
      <c r="T10" s="10">
        <v>2902045209.21</v>
      </c>
      <c r="U10" s="10">
        <v>1433324486.6600001</v>
      </c>
      <c r="V10" s="10">
        <v>2898292855.71</v>
      </c>
      <c r="W10" s="11">
        <v>1269748353.7814002</v>
      </c>
      <c r="X10" s="11">
        <v>2734716722.8314004</v>
      </c>
      <c r="Y10" s="6">
        <v>1271661206.4690001</v>
      </c>
      <c r="Z10" s="6">
        <v>2830745591.9390001</v>
      </c>
      <c r="AA10" s="10">
        <f t="shared" si="0"/>
        <v>17348808937.340401</v>
      </c>
      <c r="AB10" s="13">
        <f t="shared" si="1"/>
        <v>20179554529.2794</v>
      </c>
      <c r="AC10" s="11">
        <f t="shared" si="2"/>
        <v>68572367.341266409</v>
      </c>
      <c r="AD10" s="13">
        <f t="shared" si="3"/>
        <v>79761085.095966011</v>
      </c>
    </row>
    <row r="11" spans="1:30" ht="15" x14ac:dyDescent="0.35">
      <c r="A11" s="5">
        <v>10</v>
      </c>
      <c r="B11" s="5" t="s">
        <v>35</v>
      </c>
      <c r="C11" s="10">
        <v>6062162133.1599998</v>
      </c>
      <c r="D11" s="10">
        <v>8576656879.5500002</v>
      </c>
      <c r="E11" s="10">
        <v>6520473654.1599998</v>
      </c>
      <c r="F11" s="10">
        <v>8908292626.7999992</v>
      </c>
      <c r="G11" s="10">
        <v>6427119916.5100002</v>
      </c>
      <c r="H11" s="10">
        <v>7796603490.5299997</v>
      </c>
      <c r="I11" s="10">
        <v>4207767748.3499999</v>
      </c>
      <c r="J11" s="10">
        <v>5450575548.6199999</v>
      </c>
      <c r="K11" s="10">
        <v>2890913486.2600002</v>
      </c>
      <c r="L11" s="10">
        <v>5150716733.5299997</v>
      </c>
      <c r="M11" s="10">
        <v>5111005544.8500004</v>
      </c>
      <c r="N11" s="10">
        <v>7370808792.1199999</v>
      </c>
      <c r="O11" s="10">
        <v>5984335552.4399996</v>
      </c>
      <c r="P11" s="10">
        <v>8244138799.71</v>
      </c>
      <c r="Q11" s="10">
        <v>7391940499.1499996</v>
      </c>
      <c r="R11" s="10">
        <v>9661323846.9500008</v>
      </c>
      <c r="S11" s="10">
        <v>5636026911.71</v>
      </c>
      <c r="T11" s="10">
        <v>7955773758.3199997</v>
      </c>
      <c r="U11" s="10">
        <v>8092986999.6899996</v>
      </c>
      <c r="V11" s="10">
        <v>10362370347.49</v>
      </c>
      <c r="W11" s="11">
        <v>6324670721.9295998</v>
      </c>
      <c r="X11" s="11">
        <v>8594054069.7296009</v>
      </c>
      <c r="Y11" s="6">
        <v>6172492345.3317003</v>
      </c>
      <c r="Z11" s="6">
        <v>8441875693.1316996</v>
      </c>
      <c r="AA11" s="10">
        <f t="shared" si="0"/>
        <v>70821895513.541306</v>
      </c>
      <c r="AB11" s="13">
        <f t="shared" si="1"/>
        <v>79263771206.673004</v>
      </c>
      <c r="AC11" s="11">
        <f t="shared" si="2"/>
        <v>279928440.76498538</v>
      </c>
      <c r="AD11" s="13">
        <f t="shared" si="3"/>
        <v>313295538.36629647</v>
      </c>
    </row>
    <row r="12" spans="1:30" ht="15" x14ac:dyDescent="0.35">
      <c r="A12" s="5">
        <v>11</v>
      </c>
      <c r="B12" s="5" t="s">
        <v>36</v>
      </c>
      <c r="C12" s="10">
        <v>2167149723.5599999</v>
      </c>
      <c r="D12" s="10">
        <v>2302005179.9200001</v>
      </c>
      <c r="E12" s="10">
        <v>1993102693.24</v>
      </c>
      <c r="F12" s="10">
        <v>2126728930.6099999</v>
      </c>
      <c r="G12" s="10">
        <v>1781166478.76</v>
      </c>
      <c r="H12" s="10">
        <v>1906834047.6700001</v>
      </c>
      <c r="I12" s="10">
        <v>1789976921.27</v>
      </c>
      <c r="J12" s="10">
        <v>1824726914.1099999</v>
      </c>
      <c r="K12" s="10">
        <v>1843573739.6099999</v>
      </c>
      <c r="L12" s="10">
        <v>1975480356.03</v>
      </c>
      <c r="M12" s="10">
        <v>3407441406.4099998</v>
      </c>
      <c r="N12" s="10">
        <v>3539348022.8400002</v>
      </c>
      <c r="O12" s="10">
        <v>2915356670.6500001</v>
      </c>
      <c r="P12" s="10">
        <v>3049223585.5999999</v>
      </c>
      <c r="Q12" s="10">
        <v>2993993611.3000002</v>
      </c>
      <c r="R12" s="10">
        <v>3143126542.52</v>
      </c>
      <c r="S12" s="10">
        <v>2475086387.0900002</v>
      </c>
      <c r="T12" s="10">
        <v>2620753937.9299998</v>
      </c>
      <c r="U12" s="10">
        <v>2473330851.04</v>
      </c>
      <c r="V12" s="10">
        <v>2616165134.5500002</v>
      </c>
      <c r="W12" s="11">
        <v>2283145156.822</v>
      </c>
      <c r="X12" s="11">
        <v>2446815482.4619999</v>
      </c>
      <c r="Y12" s="6">
        <v>2373560004.0176001</v>
      </c>
      <c r="Z12" s="6">
        <v>2532260059.7175999</v>
      </c>
      <c r="AA12" s="10">
        <f t="shared" si="0"/>
        <v>28496883643.7696</v>
      </c>
      <c r="AB12" s="13">
        <f t="shared" si="1"/>
        <v>31029143703.487198</v>
      </c>
      <c r="AC12" s="11">
        <f t="shared" si="2"/>
        <v>112635903.73031463</v>
      </c>
      <c r="AD12" s="13">
        <f t="shared" si="3"/>
        <v>122644836.77267668</v>
      </c>
    </row>
    <row r="13" spans="1:30" ht="15" x14ac:dyDescent="0.35">
      <c r="A13" s="5">
        <v>12</v>
      </c>
      <c r="B13" s="5" t="s">
        <v>37</v>
      </c>
      <c r="C13" s="10">
        <v>2094670366.4000001</v>
      </c>
      <c r="D13" s="10">
        <v>3148264752.6799998</v>
      </c>
      <c r="E13" s="10">
        <v>1997007555.1500001</v>
      </c>
      <c r="F13" s="10">
        <v>3052848218.8499999</v>
      </c>
      <c r="G13" s="10">
        <v>1881756136.46</v>
      </c>
      <c r="H13" s="10">
        <v>2640115501.0900002</v>
      </c>
      <c r="I13" s="10">
        <v>1670414676.4200001</v>
      </c>
      <c r="J13" s="10">
        <v>2338801445.46</v>
      </c>
      <c r="K13" s="10">
        <v>1162645899.1099999</v>
      </c>
      <c r="L13" s="10">
        <v>2203584491.3800001</v>
      </c>
      <c r="M13" s="10">
        <v>2970290398.73</v>
      </c>
      <c r="N13" s="10">
        <v>4011228991</v>
      </c>
      <c r="O13" s="10">
        <v>2587720121</v>
      </c>
      <c r="P13" s="10">
        <v>3628658713.27</v>
      </c>
      <c r="Q13" s="10">
        <v>2545117780.0500002</v>
      </c>
      <c r="R13" s="10">
        <v>3623028363.9899998</v>
      </c>
      <c r="S13" s="10">
        <v>1977209919.23</v>
      </c>
      <c r="T13" s="10">
        <v>3057057560.75</v>
      </c>
      <c r="U13" s="10">
        <v>2174312069.6500001</v>
      </c>
      <c r="V13" s="10">
        <v>3183089752.3499999</v>
      </c>
      <c r="W13" s="11">
        <v>1958736803.9386997</v>
      </c>
      <c r="X13" s="11">
        <v>2967514486.6387</v>
      </c>
      <c r="Y13" s="6">
        <v>2116157894.2735</v>
      </c>
      <c r="Z13" s="6">
        <v>3101989444.7135</v>
      </c>
      <c r="AA13" s="10">
        <f t="shared" si="0"/>
        <v>25136039620.412201</v>
      </c>
      <c r="AB13" s="13">
        <f t="shared" si="1"/>
        <v>28238029065.125702</v>
      </c>
      <c r="AC13" s="11">
        <f t="shared" si="2"/>
        <v>99351935.258546248</v>
      </c>
      <c r="AD13" s="13">
        <f t="shared" si="3"/>
        <v>111612763.10326365</v>
      </c>
    </row>
    <row r="14" spans="1:30" ht="15" x14ac:dyDescent="0.35">
      <c r="A14" s="5">
        <v>13</v>
      </c>
      <c r="B14" s="5" t="s">
        <v>38</v>
      </c>
      <c r="C14" s="10">
        <v>1376976264.3399999</v>
      </c>
      <c r="D14" s="10">
        <v>2305640759.0900002</v>
      </c>
      <c r="E14" s="10">
        <v>1084469706.8599999</v>
      </c>
      <c r="F14" s="10">
        <v>2151966892.79</v>
      </c>
      <c r="G14" s="10">
        <v>1187089416.8399999</v>
      </c>
      <c r="H14" s="10">
        <v>1920027383.96</v>
      </c>
      <c r="I14" s="10">
        <v>1266814083.3800001</v>
      </c>
      <c r="J14" s="10">
        <v>1860919359.3199999</v>
      </c>
      <c r="K14" s="10">
        <v>903602952.88</v>
      </c>
      <c r="L14" s="10">
        <v>1971100138.8099999</v>
      </c>
      <c r="M14" s="10">
        <v>2422761385.54</v>
      </c>
      <c r="N14" s="10">
        <v>3490258571.4699998</v>
      </c>
      <c r="O14" s="10">
        <v>2046393046.4400001</v>
      </c>
      <c r="P14" s="10">
        <v>3065030138.7800002</v>
      </c>
      <c r="Q14" s="10">
        <v>2168059286.5900002</v>
      </c>
      <c r="R14" s="10">
        <v>3162967662.02</v>
      </c>
      <c r="S14" s="10">
        <v>1632759143.01</v>
      </c>
      <c r="T14" s="10">
        <v>2627667518.4400001</v>
      </c>
      <c r="U14" s="10">
        <v>1575229577.54</v>
      </c>
      <c r="V14" s="10">
        <v>2611250452.9699998</v>
      </c>
      <c r="W14" s="11">
        <v>1450641367.6649001</v>
      </c>
      <c r="X14" s="11">
        <v>2462503057.6749001</v>
      </c>
      <c r="Y14" s="6">
        <v>1548576260.9538</v>
      </c>
      <c r="Z14" s="6">
        <v>2532474785.3638</v>
      </c>
      <c r="AA14" s="10">
        <f t="shared" si="0"/>
        <v>18663372492.0387</v>
      </c>
      <c r="AB14" s="13">
        <f t="shared" si="1"/>
        <v>21195847277.4025</v>
      </c>
      <c r="AC14" s="11">
        <f t="shared" si="2"/>
        <v>73768270.719520554</v>
      </c>
      <c r="AD14" s="13">
        <f t="shared" si="3"/>
        <v>83778052.479851782</v>
      </c>
    </row>
    <row r="15" spans="1:30" ht="15" x14ac:dyDescent="0.35">
      <c r="A15" s="5">
        <v>14</v>
      </c>
      <c r="B15" s="5" t="s">
        <v>39</v>
      </c>
      <c r="C15" s="10">
        <v>2372200276.1500001</v>
      </c>
      <c r="D15" s="10">
        <v>2609146241.6199999</v>
      </c>
      <c r="E15" s="10">
        <v>2207795207.1199999</v>
      </c>
      <c r="F15" s="10">
        <v>2444741172.5900002</v>
      </c>
      <c r="G15" s="10">
        <v>2091723195.96</v>
      </c>
      <c r="H15" s="10">
        <v>2212173378.1300001</v>
      </c>
      <c r="I15" s="10">
        <v>2049778478.72</v>
      </c>
      <c r="J15" s="10">
        <v>2080256065.3</v>
      </c>
      <c r="K15" s="10">
        <v>2003137942.2</v>
      </c>
      <c r="L15" s="10">
        <v>2240083907.6700001</v>
      </c>
      <c r="M15" s="10">
        <v>3722910611.7399998</v>
      </c>
      <c r="N15" s="10">
        <v>3959856577.21</v>
      </c>
      <c r="O15" s="10">
        <v>3209829480.0599999</v>
      </c>
      <c r="P15" s="10">
        <v>3448775445.5300002</v>
      </c>
      <c r="Q15" s="10">
        <v>3349557484.4400001</v>
      </c>
      <c r="R15" s="10">
        <v>3609064185.5300002</v>
      </c>
      <c r="S15" s="10">
        <v>2691128952.6500001</v>
      </c>
      <c r="T15" s="10">
        <v>2950635653.7399998</v>
      </c>
      <c r="U15" s="10">
        <v>2402860845.5300002</v>
      </c>
      <c r="V15" s="10">
        <v>2956572670.6300001</v>
      </c>
      <c r="W15" s="11">
        <v>2211014360.5082998</v>
      </c>
      <c r="X15" s="11">
        <v>2764726185.5783</v>
      </c>
      <c r="Y15" s="6">
        <v>2475803518.7459998</v>
      </c>
      <c r="Z15" s="6">
        <v>2882412781.8260002</v>
      </c>
      <c r="AA15" s="10">
        <f t="shared" si="0"/>
        <v>30787740353.824299</v>
      </c>
      <c r="AB15" s="13">
        <f t="shared" si="1"/>
        <v>33670153135.650299</v>
      </c>
      <c r="AC15" s="11">
        <f t="shared" si="2"/>
        <v>121690673.33527391</v>
      </c>
      <c r="AD15" s="13">
        <f t="shared" si="3"/>
        <v>133083609.23181936</v>
      </c>
    </row>
    <row r="16" spans="1:30" ht="15" x14ac:dyDescent="0.35">
      <c r="A16" s="5">
        <v>15</v>
      </c>
      <c r="B16" s="5" t="s">
        <v>40</v>
      </c>
      <c r="C16" s="10">
        <v>1595251558.8900001</v>
      </c>
      <c r="D16" s="10">
        <v>2390363568.7600002</v>
      </c>
      <c r="E16" s="10">
        <v>1458257406.1600001</v>
      </c>
      <c r="F16" s="10">
        <v>2253369419.0300002</v>
      </c>
      <c r="G16" s="10">
        <v>1258255522.8800001</v>
      </c>
      <c r="H16" s="10">
        <v>1980715525.6099999</v>
      </c>
      <c r="I16" s="10">
        <v>1292586663.46</v>
      </c>
      <c r="J16" s="10">
        <v>1925074073.5999999</v>
      </c>
      <c r="K16" s="10">
        <v>1237565490.8699999</v>
      </c>
      <c r="L16" s="10">
        <v>2032677503.74</v>
      </c>
      <c r="M16" s="10">
        <v>2886457311.8600001</v>
      </c>
      <c r="N16" s="10">
        <v>3681569324.73</v>
      </c>
      <c r="O16" s="10">
        <v>2385949656.9099998</v>
      </c>
      <c r="P16" s="12">
        <v>3181081669.7800002</v>
      </c>
      <c r="Q16" s="10">
        <v>2617059283.5999999</v>
      </c>
      <c r="R16" s="10">
        <v>3303612283.0900002</v>
      </c>
      <c r="S16" s="10">
        <v>2032195748.7</v>
      </c>
      <c r="T16" s="10">
        <v>2718738748.1900001</v>
      </c>
      <c r="U16" s="10">
        <v>2069517121.1400001</v>
      </c>
      <c r="V16" s="10">
        <v>2756060120.6300001</v>
      </c>
      <c r="W16" s="11">
        <v>1837067723.4604001</v>
      </c>
      <c r="X16" s="11">
        <v>2543700164.6204</v>
      </c>
      <c r="Y16" s="6">
        <v>1929577100.5651</v>
      </c>
      <c r="Z16" s="6">
        <v>2630276958.3850999</v>
      </c>
      <c r="AA16" s="10">
        <f t="shared" si="0"/>
        <v>22599740588.495502</v>
      </c>
      <c r="AB16" s="13">
        <f t="shared" si="1"/>
        <v>25230017546.880604</v>
      </c>
      <c r="AC16" s="11">
        <f t="shared" si="2"/>
        <v>89327037.899191707</v>
      </c>
      <c r="AD16" s="13">
        <f t="shared" si="3"/>
        <v>99723389.513362065</v>
      </c>
    </row>
    <row r="17" spans="1:30" ht="15" x14ac:dyDescent="0.35">
      <c r="A17" s="5">
        <v>16</v>
      </c>
      <c r="B17" s="5" t="s">
        <v>41</v>
      </c>
      <c r="C17" s="10">
        <v>2299871068.6199999</v>
      </c>
      <c r="D17" s="10">
        <v>2911146156</v>
      </c>
      <c r="E17" s="10">
        <v>1630698013.1199999</v>
      </c>
      <c r="F17" s="10">
        <v>2605731404.7199998</v>
      </c>
      <c r="G17" s="10">
        <v>2337794557.96</v>
      </c>
      <c r="H17" s="10">
        <v>2400597458.4000001</v>
      </c>
      <c r="I17" s="10">
        <v>2267804912.4299998</v>
      </c>
      <c r="J17" s="10">
        <v>2330607812.8699999</v>
      </c>
      <c r="K17" s="10">
        <v>1872879765.1700001</v>
      </c>
      <c r="L17" s="10">
        <v>2473837662.71</v>
      </c>
      <c r="M17" s="10">
        <v>3754244528.6100001</v>
      </c>
      <c r="N17" s="10">
        <v>4355202426.1499996</v>
      </c>
      <c r="O17" s="10">
        <v>3026609364.2199998</v>
      </c>
      <c r="P17" s="10">
        <v>3809419009.4000001</v>
      </c>
      <c r="Q17" s="10">
        <v>2978071800.1399999</v>
      </c>
      <c r="R17" s="10">
        <v>3866034265.9000001</v>
      </c>
      <c r="S17" s="10">
        <v>2312502307.4899998</v>
      </c>
      <c r="T17" s="10">
        <v>3201883780.54</v>
      </c>
      <c r="U17" s="10">
        <v>2503709205.5300002</v>
      </c>
      <c r="V17" s="10">
        <v>3380284415.1399999</v>
      </c>
      <c r="W17" s="11">
        <v>2527817135.0302997</v>
      </c>
      <c r="X17" s="11">
        <v>3404392344.6402998</v>
      </c>
      <c r="Y17" s="6">
        <v>2372147093.8691001</v>
      </c>
      <c r="Z17" s="6">
        <v>3248722303.4791002</v>
      </c>
      <c r="AA17" s="10">
        <f t="shared" si="0"/>
        <v>29884149752.1894</v>
      </c>
      <c r="AB17" s="13">
        <f t="shared" si="1"/>
        <v>33132872055.668499</v>
      </c>
      <c r="AC17" s="11">
        <f t="shared" si="2"/>
        <v>118119168.98098578</v>
      </c>
      <c r="AD17" s="13">
        <f t="shared" si="3"/>
        <v>130959968.59948023</v>
      </c>
    </row>
    <row r="18" spans="1:30" ht="15" x14ac:dyDescent="0.35">
      <c r="A18" s="5">
        <v>17</v>
      </c>
      <c r="B18" s="5" t="s">
        <v>42</v>
      </c>
      <c r="C18" s="10">
        <v>2776529371.3200002</v>
      </c>
      <c r="D18" s="10">
        <v>2882327493.0500002</v>
      </c>
      <c r="E18" s="10">
        <v>2563114698.48</v>
      </c>
      <c r="F18" s="10">
        <v>2668912820.21</v>
      </c>
      <c r="G18" s="10">
        <v>2271365972.1199999</v>
      </c>
      <c r="H18" s="10">
        <v>2377164093.8499999</v>
      </c>
      <c r="I18" s="10">
        <v>2273617521.6700001</v>
      </c>
      <c r="J18" s="10">
        <v>2289443047.8099999</v>
      </c>
      <c r="K18" s="10">
        <v>2339773705.98</v>
      </c>
      <c r="L18" s="10">
        <v>2445571827.71</v>
      </c>
      <c r="M18" s="10">
        <v>4252515502.6300001</v>
      </c>
      <c r="N18" s="10">
        <v>4358313624.3599997</v>
      </c>
      <c r="O18" s="10">
        <v>3709026487.27</v>
      </c>
      <c r="P18" s="12">
        <v>3814824609</v>
      </c>
      <c r="Q18" s="10">
        <v>3827587892.2199998</v>
      </c>
      <c r="R18" s="10">
        <v>3947031206.1900001</v>
      </c>
      <c r="S18" s="10">
        <v>3145909346.8899999</v>
      </c>
      <c r="T18" s="10">
        <v>3265352660.8600001</v>
      </c>
      <c r="U18" s="10">
        <v>3137739544.5300002</v>
      </c>
      <c r="V18" s="10">
        <v>3257182858.5</v>
      </c>
      <c r="W18" s="11">
        <v>2930185030.2556</v>
      </c>
      <c r="X18" s="11">
        <v>3049628344.2255998</v>
      </c>
      <c r="Y18" s="6">
        <v>3072082441.0665002</v>
      </c>
      <c r="Z18" s="6">
        <v>3191525755.0365</v>
      </c>
      <c r="AA18" s="10">
        <f t="shared" si="0"/>
        <v>36299447514.432098</v>
      </c>
      <c r="AB18" s="13">
        <f t="shared" si="1"/>
        <v>39490973269.468597</v>
      </c>
      <c r="AC18" s="11">
        <f t="shared" si="2"/>
        <v>143476077.13214269</v>
      </c>
      <c r="AD18" s="13">
        <f t="shared" si="3"/>
        <v>156090803.43663478</v>
      </c>
    </row>
    <row r="19" spans="1:30" ht="15" x14ac:dyDescent="0.35">
      <c r="A19" s="5">
        <v>18</v>
      </c>
      <c r="B19" s="5" t="s">
        <v>43</v>
      </c>
      <c r="C19" s="10">
        <v>2858012009.9299998</v>
      </c>
      <c r="D19" s="10">
        <v>3388961632.4499998</v>
      </c>
      <c r="E19" s="10">
        <v>2803408785.6100001</v>
      </c>
      <c r="F19" s="10">
        <v>3131103471.3600001</v>
      </c>
      <c r="G19" s="10">
        <v>2641197259.8200002</v>
      </c>
      <c r="H19" s="10">
        <v>2849281015.6999998</v>
      </c>
      <c r="I19" s="10">
        <v>2577880085.54</v>
      </c>
      <c r="J19" s="10">
        <v>2702319834.52</v>
      </c>
      <c r="K19" s="10">
        <v>2537735912.75</v>
      </c>
      <c r="L19" s="10">
        <v>2865430598.5</v>
      </c>
      <c r="M19" s="10">
        <v>4795670711.46</v>
      </c>
      <c r="N19" s="10">
        <v>5123365397.21</v>
      </c>
      <c r="O19" s="10">
        <v>4148127452.4899998</v>
      </c>
      <c r="P19" s="10">
        <v>4475822138.2299995</v>
      </c>
      <c r="Q19" s="10">
        <v>4237020298.73</v>
      </c>
      <c r="R19" s="10">
        <v>4625495556.6499996</v>
      </c>
      <c r="S19" s="10">
        <v>3453916939.8800001</v>
      </c>
      <c r="T19" s="10">
        <v>3842392197.8000002</v>
      </c>
      <c r="U19" s="10">
        <v>3444126672.98</v>
      </c>
      <c r="V19" s="10">
        <v>3832601930.9000001</v>
      </c>
      <c r="W19" s="11">
        <v>3189899377.6743002</v>
      </c>
      <c r="X19" s="11">
        <v>3578374635.5943003</v>
      </c>
      <c r="Y19" s="6">
        <v>3386381090.9053001</v>
      </c>
      <c r="Z19" s="6">
        <v>3774856348.8253002</v>
      </c>
      <c r="AA19" s="10">
        <f t="shared" si="0"/>
        <v>40073376597.769592</v>
      </c>
      <c r="AB19" s="13">
        <f t="shared" si="1"/>
        <v>43848232946.594894</v>
      </c>
      <c r="AC19" s="11">
        <f t="shared" si="2"/>
        <v>158392792.87655964</v>
      </c>
      <c r="AD19" s="13">
        <f t="shared" si="3"/>
        <v>173313173.70195609</v>
      </c>
    </row>
    <row r="20" spans="1:30" ht="15" x14ac:dyDescent="0.35">
      <c r="A20" s="5">
        <v>19</v>
      </c>
      <c r="B20" s="5" t="s">
        <v>44</v>
      </c>
      <c r="C20" s="10">
        <v>3863834809.3400002</v>
      </c>
      <c r="D20" s="10">
        <v>4210707738.8099999</v>
      </c>
      <c r="E20" s="10">
        <v>3613387002.5100002</v>
      </c>
      <c r="F20" s="10">
        <v>3954794178.5599999</v>
      </c>
      <c r="G20" s="10">
        <v>3423584935.4099998</v>
      </c>
      <c r="H20" s="10">
        <v>3541028641.1799998</v>
      </c>
      <c r="I20" s="10">
        <v>3338542496.8000002</v>
      </c>
      <c r="J20" s="10">
        <v>3366013606.98</v>
      </c>
      <c r="K20" s="10">
        <v>3233171496.48</v>
      </c>
      <c r="L20" s="10">
        <v>3585982782.1399999</v>
      </c>
      <c r="M20" s="10">
        <v>5950312482.5600004</v>
      </c>
      <c r="N20" s="10">
        <v>6303123768.2200003</v>
      </c>
      <c r="O20" s="10">
        <v>4906399210.0900002</v>
      </c>
      <c r="P20" s="10">
        <v>5499870378.5500002</v>
      </c>
      <c r="Q20" s="10">
        <v>5204831380.6300001</v>
      </c>
      <c r="R20" s="10">
        <v>5702436776.8000002</v>
      </c>
      <c r="S20" s="10">
        <v>4212552662.3699999</v>
      </c>
      <c r="T20" s="10">
        <v>4704845592.79</v>
      </c>
      <c r="U20" s="10">
        <v>4283606266.2800002</v>
      </c>
      <c r="V20" s="10">
        <v>4779937689.8400002</v>
      </c>
      <c r="W20" s="11">
        <v>4258511275.3732004</v>
      </c>
      <c r="X20" s="11">
        <v>4749541329.0732002</v>
      </c>
      <c r="Y20" s="6">
        <v>4456987802.2629004</v>
      </c>
      <c r="Z20" s="6">
        <v>5004518885.1429005</v>
      </c>
      <c r="AA20" s="10">
        <f t="shared" si="0"/>
        <v>50745721820.106102</v>
      </c>
      <c r="AB20" s="13">
        <f t="shared" si="1"/>
        <v>55750240705.249001</v>
      </c>
      <c r="AC20" s="11">
        <f t="shared" si="2"/>
        <v>200575975.57354191</v>
      </c>
      <c r="AD20" s="13">
        <f t="shared" si="3"/>
        <v>220356682.62944269</v>
      </c>
    </row>
    <row r="21" spans="1:30" ht="15" x14ac:dyDescent="0.35">
      <c r="A21" s="5">
        <v>20</v>
      </c>
      <c r="B21" s="5" t="s">
        <v>45</v>
      </c>
      <c r="C21" s="10">
        <v>2999916961.77</v>
      </c>
      <c r="D21" s="10">
        <v>3198099994.3099999</v>
      </c>
      <c r="E21" s="10">
        <v>2845760627.1999998</v>
      </c>
      <c r="F21" s="10">
        <v>3048966814.3600001</v>
      </c>
      <c r="G21" s="10">
        <v>2454521276.73</v>
      </c>
      <c r="H21" s="10">
        <v>2645220969.4899998</v>
      </c>
      <c r="I21" s="10">
        <v>2455410820.8400002</v>
      </c>
      <c r="J21" s="10">
        <v>2529443846.9299998</v>
      </c>
      <c r="K21" s="10">
        <v>2397831082.4299998</v>
      </c>
      <c r="L21" s="10">
        <v>2714683268.0799999</v>
      </c>
      <c r="M21" s="10">
        <v>4490901629.04</v>
      </c>
      <c r="N21" s="10">
        <v>4807753814.6899996</v>
      </c>
      <c r="O21" s="10">
        <v>3894126386.5700002</v>
      </c>
      <c r="P21" s="10">
        <v>4210983732.54</v>
      </c>
      <c r="Q21" s="10">
        <v>4000222620.5500002</v>
      </c>
      <c r="R21" s="10">
        <v>4348046427.4700003</v>
      </c>
      <c r="S21" s="10">
        <v>3256073563.1399999</v>
      </c>
      <c r="T21" s="10">
        <v>3605840163.9699998</v>
      </c>
      <c r="U21" s="10">
        <v>3251683809.6599998</v>
      </c>
      <c r="V21" s="10">
        <v>3598199194.1799998</v>
      </c>
      <c r="W21" s="11">
        <v>3012096465.0107002</v>
      </c>
      <c r="X21" s="11">
        <v>3390531862.6907001</v>
      </c>
      <c r="Y21" s="6">
        <v>3157695659.7768998</v>
      </c>
      <c r="Z21" s="6">
        <v>3505465455.8868999</v>
      </c>
      <c r="AA21" s="10">
        <f t="shared" si="0"/>
        <v>38216240902.717598</v>
      </c>
      <c r="AB21" s="13">
        <f t="shared" si="1"/>
        <v>41721706358.6045</v>
      </c>
      <c r="AC21" s="11">
        <f t="shared" si="2"/>
        <v>151052335.58386403</v>
      </c>
      <c r="AD21" s="13">
        <f t="shared" si="3"/>
        <v>164907930.27116403</v>
      </c>
    </row>
    <row r="22" spans="1:30" ht="15" x14ac:dyDescent="0.35">
      <c r="A22" s="5">
        <v>21</v>
      </c>
      <c r="B22" s="5" t="s">
        <v>46</v>
      </c>
      <c r="C22" s="10">
        <v>2455047864.2199998</v>
      </c>
      <c r="D22" s="10">
        <v>2668935857.9000001</v>
      </c>
      <c r="E22" s="10">
        <v>2195741092.4299998</v>
      </c>
      <c r="F22" s="10">
        <v>2486857861.5900002</v>
      </c>
      <c r="G22" s="10">
        <v>1995523531.74</v>
      </c>
      <c r="H22" s="10">
        <v>2222935564.4899998</v>
      </c>
      <c r="I22" s="10">
        <v>1989943758.49</v>
      </c>
      <c r="J22" s="10">
        <v>2127383195.6500001</v>
      </c>
      <c r="K22" s="10">
        <v>1978817185.53</v>
      </c>
      <c r="L22" s="10">
        <v>2269933954.6900001</v>
      </c>
      <c r="M22" s="10">
        <v>3785972265.7800002</v>
      </c>
      <c r="N22" s="10">
        <v>4077089034.9400001</v>
      </c>
      <c r="O22" s="10">
        <v>3274804487.4000001</v>
      </c>
      <c r="P22" s="10">
        <v>3585921256.5799999</v>
      </c>
      <c r="Q22" s="10">
        <v>3365783329.6700001</v>
      </c>
      <c r="R22" s="10">
        <v>3668332117</v>
      </c>
      <c r="S22" s="10">
        <v>2739513419.54</v>
      </c>
      <c r="T22" s="10">
        <v>3042062206.8699999</v>
      </c>
      <c r="U22" s="10">
        <v>2719689854.7199998</v>
      </c>
      <c r="V22" s="10">
        <v>3022238642.0500002</v>
      </c>
      <c r="W22" s="11">
        <v>2532959287.1054001</v>
      </c>
      <c r="X22" s="11">
        <v>2835508074.4354</v>
      </c>
      <c r="Y22" s="6">
        <v>2629978514.2595</v>
      </c>
      <c r="Z22" s="6">
        <v>2932527301.5895</v>
      </c>
      <c r="AA22" s="10">
        <f t="shared" si="0"/>
        <v>31663774590.884903</v>
      </c>
      <c r="AB22" s="13">
        <f t="shared" si="1"/>
        <v>34596301892.474403</v>
      </c>
      <c r="AC22" s="11">
        <f t="shared" si="2"/>
        <v>125153259.2525095</v>
      </c>
      <c r="AD22" s="13">
        <f t="shared" si="3"/>
        <v>136744276.25483954</v>
      </c>
    </row>
    <row r="23" spans="1:30" ht="15" x14ac:dyDescent="0.35">
      <c r="A23" s="5">
        <v>22</v>
      </c>
      <c r="B23" s="5" t="s">
        <v>47</v>
      </c>
      <c r="C23" s="10">
        <v>2505602175.0999999</v>
      </c>
      <c r="D23" s="10">
        <v>2780577993.54</v>
      </c>
      <c r="E23" s="10">
        <v>2294573542.4499998</v>
      </c>
      <c r="F23" s="10">
        <v>2569549360.8899999</v>
      </c>
      <c r="G23" s="10">
        <v>2033451861.48</v>
      </c>
      <c r="H23" s="10">
        <v>2297668569.8800001</v>
      </c>
      <c r="I23" s="10">
        <v>1926765740.03</v>
      </c>
      <c r="J23" s="10">
        <v>2190982448.4299998</v>
      </c>
      <c r="K23" s="10">
        <v>1800713440.9300001</v>
      </c>
      <c r="L23" s="10">
        <v>2345607451.2199998</v>
      </c>
      <c r="M23" s="10">
        <v>3885067945.8699999</v>
      </c>
      <c r="N23" s="10">
        <v>4429961956.1599998</v>
      </c>
      <c r="O23" s="10">
        <v>3240470041.0900002</v>
      </c>
      <c r="P23" s="10">
        <v>3695391051.0700002</v>
      </c>
      <c r="Q23" s="10">
        <v>3391514947.4299998</v>
      </c>
      <c r="R23" s="10">
        <v>3853776643.3400002</v>
      </c>
      <c r="S23" s="10">
        <v>2731437662.73</v>
      </c>
      <c r="T23" s="10">
        <v>3193699358.6399999</v>
      </c>
      <c r="U23" s="10">
        <v>2675888149.0900002</v>
      </c>
      <c r="V23" s="10">
        <v>3138149845</v>
      </c>
      <c r="W23" s="11">
        <v>2512651685.8182001</v>
      </c>
      <c r="X23" s="11">
        <v>2974913381.7282</v>
      </c>
      <c r="Y23" s="6">
        <v>2581245134.3583999</v>
      </c>
      <c r="Z23" s="6">
        <v>3043506829.9084001</v>
      </c>
      <c r="AA23" s="10">
        <f t="shared" si="0"/>
        <v>31579382326.376598</v>
      </c>
      <c r="AB23" s="13">
        <f t="shared" si="1"/>
        <v>34622889156.284996</v>
      </c>
      <c r="AC23" s="11">
        <f t="shared" si="2"/>
        <v>124819692.98963082</v>
      </c>
      <c r="AD23" s="13">
        <f t="shared" si="3"/>
        <v>136849364.25409091</v>
      </c>
    </row>
    <row r="24" spans="1:30" ht="15" x14ac:dyDescent="0.35">
      <c r="A24" s="5">
        <v>23</v>
      </c>
      <c r="B24" s="5" t="s">
        <v>48</v>
      </c>
      <c r="C24" s="10">
        <v>1815013883.77</v>
      </c>
      <c r="D24" s="10">
        <v>2312005043.8000002</v>
      </c>
      <c r="E24" s="10">
        <v>1743743559.8</v>
      </c>
      <c r="F24" s="10">
        <v>2150762124.27</v>
      </c>
      <c r="G24" s="10">
        <v>1768299984.75</v>
      </c>
      <c r="H24" s="10">
        <v>1924977185.3699999</v>
      </c>
      <c r="I24" s="10">
        <v>1768559784.03</v>
      </c>
      <c r="J24" s="10">
        <v>1835264389.0699999</v>
      </c>
      <c r="K24" s="10">
        <v>1554650906.9300001</v>
      </c>
      <c r="L24" s="10">
        <v>1961669471.4000001</v>
      </c>
      <c r="M24" s="10">
        <v>3070451938.9699998</v>
      </c>
      <c r="N24" s="10">
        <v>3477470503.4400001</v>
      </c>
      <c r="O24" s="10">
        <v>2689033582.54</v>
      </c>
      <c r="P24" s="12">
        <v>3043869930.8000002</v>
      </c>
      <c r="Q24" s="10">
        <v>2775379772.0599999</v>
      </c>
      <c r="R24" s="10">
        <v>3144936907.9099998</v>
      </c>
      <c r="S24" s="10">
        <v>2249897424.1999998</v>
      </c>
      <c r="T24" s="10">
        <v>2619454560.0500002</v>
      </c>
      <c r="U24" s="10">
        <v>2241509058.71</v>
      </c>
      <c r="V24" s="10">
        <v>2611066194.5599999</v>
      </c>
      <c r="W24" s="11">
        <v>2077949539.6613998</v>
      </c>
      <c r="X24" s="11">
        <v>2447506675.5114002</v>
      </c>
      <c r="Y24" s="6">
        <v>2160781959.8586001</v>
      </c>
      <c r="Z24" s="6">
        <v>2530339095.7086</v>
      </c>
      <c r="AA24" s="10">
        <f t="shared" si="0"/>
        <v>25915271395.279999</v>
      </c>
      <c r="AB24" s="13">
        <f t="shared" si="1"/>
        <v>28445610490.988598</v>
      </c>
      <c r="AC24" s="11">
        <f t="shared" si="2"/>
        <v>102431902.74814229</v>
      </c>
      <c r="AD24" s="13">
        <f t="shared" si="3"/>
        <v>112433243.04738577</v>
      </c>
    </row>
    <row r="25" spans="1:30" ht="15" x14ac:dyDescent="0.35">
      <c r="A25" s="5">
        <v>24</v>
      </c>
      <c r="B25" s="5" t="s">
        <v>49</v>
      </c>
      <c r="C25" s="10">
        <v>6612898271.75</v>
      </c>
      <c r="D25" s="10">
        <v>8990116905.3199997</v>
      </c>
      <c r="E25" s="10">
        <v>5806821749.3199997</v>
      </c>
      <c r="F25" s="10">
        <v>8184040382.8900003</v>
      </c>
      <c r="G25" s="10">
        <v>5464418811.6400003</v>
      </c>
      <c r="H25" s="10">
        <v>7841637445.21</v>
      </c>
      <c r="I25" s="10">
        <v>5553985605.9700003</v>
      </c>
      <c r="J25" s="10">
        <v>7931204239.54</v>
      </c>
      <c r="K25" s="10">
        <v>6082690933.6400003</v>
      </c>
      <c r="L25" s="10">
        <v>8459909567.21</v>
      </c>
      <c r="M25" s="10">
        <v>8297557903.8299999</v>
      </c>
      <c r="N25" s="10">
        <v>10674776537.4</v>
      </c>
      <c r="O25" s="10">
        <v>7841509977.2299995</v>
      </c>
      <c r="P25" s="10">
        <v>10218728810.799999</v>
      </c>
      <c r="Q25" s="10">
        <v>7929402944.0100002</v>
      </c>
      <c r="R25" s="10">
        <v>10834045201.129999</v>
      </c>
      <c r="S25" s="10">
        <v>5984689422.0799999</v>
      </c>
      <c r="T25" s="10">
        <v>8889331679.2000008</v>
      </c>
      <c r="U25" s="10">
        <v>6328882802.8100004</v>
      </c>
      <c r="V25" s="10">
        <v>9233525059.9300003</v>
      </c>
      <c r="W25" s="11">
        <v>6406862578.7667999</v>
      </c>
      <c r="X25" s="11">
        <v>9311504835.8867989</v>
      </c>
      <c r="Y25" s="6">
        <v>6347132187.1209002</v>
      </c>
      <c r="Z25" s="6">
        <v>9251774444.2409</v>
      </c>
      <c r="AA25" s="10">
        <f t="shared" si="0"/>
        <v>78656853188.167709</v>
      </c>
      <c r="AB25" s="13">
        <f t="shared" si="1"/>
        <v>87908627632.408615</v>
      </c>
      <c r="AC25" s="11">
        <f t="shared" si="2"/>
        <v>310896652.91765893</v>
      </c>
      <c r="AD25" s="13">
        <f t="shared" si="3"/>
        <v>347464931.35339373</v>
      </c>
    </row>
    <row r="26" spans="1:30" ht="15" x14ac:dyDescent="0.35">
      <c r="A26" s="5">
        <v>25</v>
      </c>
      <c r="B26" s="5" t="s">
        <v>50</v>
      </c>
      <c r="C26" s="10">
        <v>2169171504.9200001</v>
      </c>
      <c r="D26" s="10">
        <v>2323709763.0100002</v>
      </c>
      <c r="E26" s="10">
        <v>1993193531.74</v>
      </c>
      <c r="F26" s="10">
        <v>2147731789.8299999</v>
      </c>
      <c r="G26" s="10">
        <v>1618430700.55</v>
      </c>
      <c r="H26" s="10">
        <v>1918582628.8</v>
      </c>
      <c r="I26" s="10">
        <v>1728621058.3900001</v>
      </c>
      <c r="J26" s="10">
        <v>1848827795.46</v>
      </c>
      <c r="K26" s="10">
        <v>1738115545.3900001</v>
      </c>
      <c r="L26" s="10">
        <v>1982626399.0699999</v>
      </c>
      <c r="M26" s="10">
        <v>3313800988.5599999</v>
      </c>
      <c r="N26" s="10">
        <v>3558311842.2399998</v>
      </c>
      <c r="O26" s="10">
        <v>2850032232.4899998</v>
      </c>
      <c r="P26" s="10">
        <v>3094543086.1700001</v>
      </c>
      <c r="Q26" s="10">
        <v>2928672055.3200002</v>
      </c>
      <c r="R26" s="10">
        <v>3185132427.1199999</v>
      </c>
      <c r="S26" s="10">
        <v>2396908361.8899999</v>
      </c>
      <c r="T26" s="10">
        <v>2653368722.6900001</v>
      </c>
      <c r="U26" s="10">
        <v>2389831351.1599998</v>
      </c>
      <c r="V26" s="10">
        <v>2646291711.96</v>
      </c>
      <c r="W26" s="11">
        <v>2211117570.8125</v>
      </c>
      <c r="X26" s="11">
        <v>2467577931.6125002</v>
      </c>
      <c r="Y26" s="6">
        <v>2322994950.5166998</v>
      </c>
      <c r="Z26" s="6">
        <v>2579455311.3167</v>
      </c>
      <c r="AA26" s="10">
        <f t="shared" si="0"/>
        <v>27660889851.739201</v>
      </c>
      <c r="AB26" s="13">
        <f t="shared" si="1"/>
        <v>30240345163.055901</v>
      </c>
      <c r="AC26" s="11">
        <f t="shared" si="2"/>
        <v>109331580.44165692</v>
      </c>
      <c r="AD26" s="13">
        <f t="shared" si="3"/>
        <v>119527055.98045811</v>
      </c>
    </row>
    <row r="27" spans="1:30" ht="15" x14ac:dyDescent="0.35">
      <c r="A27" s="5">
        <v>26</v>
      </c>
      <c r="B27" s="5" t="s">
        <v>51</v>
      </c>
      <c r="C27" s="10">
        <v>2372642119.2199998</v>
      </c>
      <c r="D27" s="10">
        <v>2973293229.0799999</v>
      </c>
      <c r="E27" s="10">
        <v>2062793026.0599999</v>
      </c>
      <c r="F27" s="10">
        <v>2775872676.75</v>
      </c>
      <c r="G27" s="10">
        <v>1814708994.1099999</v>
      </c>
      <c r="H27" s="10">
        <v>2459286790.6300001</v>
      </c>
      <c r="I27" s="10">
        <v>1833528179.5799999</v>
      </c>
      <c r="J27" s="10">
        <v>2360527424.1900001</v>
      </c>
      <c r="K27" s="10">
        <v>1795229811.7</v>
      </c>
      <c r="L27" s="10">
        <v>2511587624.46</v>
      </c>
      <c r="M27" s="10">
        <v>3828249484.9099998</v>
      </c>
      <c r="N27" s="10">
        <v>4544607297.6700001</v>
      </c>
      <c r="O27" s="10">
        <v>3281016323.8600001</v>
      </c>
      <c r="P27" s="10">
        <v>3996738891.02</v>
      </c>
      <c r="Q27" s="10">
        <v>3494897991.75</v>
      </c>
      <c r="R27" s="10">
        <v>4227766690.27</v>
      </c>
      <c r="S27" s="10">
        <v>2763020865.21</v>
      </c>
      <c r="T27" s="10">
        <v>3493047240.3699999</v>
      </c>
      <c r="U27" s="10">
        <v>3256496624.7800002</v>
      </c>
      <c r="V27" s="10">
        <v>3485383884.75</v>
      </c>
      <c r="W27" s="11">
        <v>2924575071.1412001</v>
      </c>
      <c r="X27" s="11">
        <v>3150640504.5712004</v>
      </c>
      <c r="Y27" s="6">
        <v>2872060824.9924998</v>
      </c>
      <c r="Z27" s="6">
        <v>3275433249.7224998</v>
      </c>
      <c r="AA27" s="10">
        <f t="shared" si="0"/>
        <v>32299219317.313702</v>
      </c>
      <c r="AB27" s="13">
        <f t="shared" si="1"/>
        <v>35574652567.036201</v>
      </c>
      <c r="AC27" s="11">
        <f t="shared" si="2"/>
        <v>127664898.48740594</v>
      </c>
      <c r="AD27" s="13">
        <f t="shared" si="3"/>
        <v>140611274.96852255</v>
      </c>
    </row>
    <row r="28" spans="1:30" ht="15" x14ac:dyDescent="0.35">
      <c r="A28" s="5">
        <v>27</v>
      </c>
      <c r="B28" s="5" t="s">
        <v>52</v>
      </c>
      <c r="C28" s="10">
        <v>1182507594.79</v>
      </c>
      <c r="D28" s="10">
        <v>2489089313.5700002</v>
      </c>
      <c r="E28" s="10">
        <v>999696533.32000005</v>
      </c>
      <c r="F28" s="10">
        <v>2306278252.0999999</v>
      </c>
      <c r="G28" s="10">
        <v>1907356026.9100001</v>
      </c>
      <c r="H28" s="10">
        <v>2080606625.72</v>
      </c>
      <c r="I28" s="10">
        <v>1943095038.1300001</v>
      </c>
      <c r="J28" s="10">
        <v>1995018042.5799999</v>
      </c>
      <c r="K28" s="10">
        <v>935421032.61000001</v>
      </c>
      <c r="L28" s="10">
        <v>2120675157.03</v>
      </c>
      <c r="M28" s="10">
        <v>2807555051.3699999</v>
      </c>
      <c r="N28" s="10">
        <v>3992809175.79</v>
      </c>
      <c r="O28" s="10">
        <v>2080482202.02</v>
      </c>
      <c r="P28" s="10">
        <v>3265738326.4400001</v>
      </c>
      <c r="Q28" s="10">
        <v>2167940448.3600001</v>
      </c>
      <c r="R28" s="10">
        <v>3380313021.6399999</v>
      </c>
      <c r="S28" s="10">
        <v>1595375751.3800001</v>
      </c>
      <c r="T28" s="10">
        <v>2807748324.6500001</v>
      </c>
      <c r="U28" s="10">
        <v>1590927026.71</v>
      </c>
      <c r="V28" s="10">
        <v>2803299599.9899998</v>
      </c>
      <c r="W28" s="11">
        <v>1434784368.9753001</v>
      </c>
      <c r="X28" s="11">
        <v>2647156942.2552996</v>
      </c>
      <c r="Y28" s="6">
        <v>1527479338.8631999</v>
      </c>
      <c r="Z28" s="6">
        <v>2739851912.1431999</v>
      </c>
      <c r="AA28" s="10">
        <f t="shared" si="0"/>
        <v>20172620413.438503</v>
      </c>
      <c r="AB28" s="13">
        <f t="shared" si="1"/>
        <v>22912472325.581703</v>
      </c>
      <c r="AC28" s="11">
        <f t="shared" si="2"/>
        <v>79733677.523472339</v>
      </c>
      <c r="AD28" s="13">
        <f t="shared" si="3"/>
        <v>90563131.721666813</v>
      </c>
    </row>
    <row r="29" spans="1:30" ht="15" x14ac:dyDescent="0.35">
      <c r="A29" s="5">
        <v>28</v>
      </c>
      <c r="B29" s="5" t="s">
        <v>53</v>
      </c>
      <c r="C29" s="10">
        <v>2348808925.8600001</v>
      </c>
      <c r="D29" s="10">
        <v>3452879114.8099999</v>
      </c>
      <c r="E29" s="10">
        <v>2063521671.24</v>
      </c>
      <c r="F29" s="10">
        <v>3347537051.3699999</v>
      </c>
      <c r="G29" s="10">
        <v>1783181035.48</v>
      </c>
      <c r="H29" s="10">
        <v>2926945195.2800002</v>
      </c>
      <c r="I29" s="10">
        <v>1722615371.6300001</v>
      </c>
      <c r="J29" s="10">
        <v>2686434340.25</v>
      </c>
      <c r="K29" s="10">
        <v>1765753396.6900001</v>
      </c>
      <c r="L29" s="10">
        <v>2924896089.4200001</v>
      </c>
      <c r="M29" s="10">
        <v>3478230754.5900002</v>
      </c>
      <c r="N29" s="10">
        <v>4637373447.3199997</v>
      </c>
      <c r="O29" s="10">
        <v>3715626706.1300001</v>
      </c>
      <c r="P29" s="10">
        <v>4783399914.3000002</v>
      </c>
      <c r="Q29" s="10">
        <v>4180255894.75</v>
      </c>
      <c r="R29" s="10">
        <v>5262311638.4700003</v>
      </c>
      <c r="S29" s="10">
        <v>3340155971.1900001</v>
      </c>
      <c r="T29" s="10">
        <v>4438240303.1999998</v>
      </c>
      <c r="U29" s="10">
        <v>4040316842.5799999</v>
      </c>
      <c r="V29" s="10">
        <v>5082154879.3000002</v>
      </c>
      <c r="W29" s="11">
        <v>3281865145.0626001</v>
      </c>
      <c r="X29" s="11">
        <v>4323703181.7826004</v>
      </c>
      <c r="Y29" s="6">
        <v>3149512540.6606002</v>
      </c>
      <c r="Z29" s="6">
        <v>4191350577.3806</v>
      </c>
      <c r="AA29" s="10">
        <f t="shared" si="0"/>
        <v>34869844255.863197</v>
      </c>
      <c r="AB29" s="13">
        <f t="shared" si="1"/>
        <v>39061194833.243797</v>
      </c>
      <c r="AC29" s="11">
        <f t="shared" si="2"/>
        <v>137825471.3670482</v>
      </c>
      <c r="AD29" s="13">
        <f t="shared" si="3"/>
        <v>154392074.43969882</v>
      </c>
    </row>
    <row r="30" spans="1:30" ht="15" x14ac:dyDescent="0.35">
      <c r="A30" s="5">
        <v>29</v>
      </c>
      <c r="B30" s="5" t="s">
        <v>54</v>
      </c>
      <c r="C30" s="10">
        <v>6229795.2300000004</v>
      </c>
      <c r="D30" s="10">
        <v>2422561490.4400001</v>
      </c>
      <c r="E30" s="10">
        <v>-131555194.65000001</v>
      </c>
      <c r="F30" s="10">
        <v>2260363578.2199998</v>
      </c>
      <c r="G30" s="10">
        <v>999670992.08000004</v>
      </c>
      <c r="H30" s="10">
        <v>2016542441.4200001</v>
      </c>
      <c r="I30" s="10">
        <v>915709673.74000001</v>
      </c>
      <c r="J30" s="10">
        <v>1932581123.0799999</v>
      </c>
      <c r="K30" s="10">
        <v>-324607385.19999999</v>
      </c>
      <c r="L30" s="10">
        <v>2067311387.6700001</v>
      </c>
      <c r="M30" s="10">
        <v>1232855434.6900001</v>
      </c>
      <c r="N30" s="10">
        <v>3624774207.5599999</v>
      </c>
      <c r="O30" s="10">
        <v>798240360.51999998</v>
      </c>
      <c r="P30" s="10">
        <v>3190159133.3899999</v>
      </c>
      <c r="Q30" s="10">
        <v>868900557.72000003</v>
      </c>
      <c r="R30" s="10">
        <v>3291675448.3200002</v>
      </c>
      <c r="S30" s="10">
        <v>305017155.69999999</v>
      </c>
      <c r="T30" s="10">
        <v>2727792046.3000002</v>
      </c>
      <c r="U30" s="10">
        <v>617497140.16999996</v>
      </c>
      <c r="V30" s="10">
        <v>2732286731.0900002</v>
      </c>
      <c r="W30" s="11">
        <v>369001096.39700007</v>
      </c>
      <c r="X30" s="11">
        <v>2569668582.9370003</v>
      </c>
      <c r="Y30" s="6">
        <v>240397016.3201001</v>
      </c>
      <c r="Z30" s="6">
        <v>2657940679.2600999</v>
      </c>
      <c r="AA30" s="10">
        <f t="shared" si="0"/>
        <v>5897356642.7171001</v>
      </c>
      <c r="AB30" s="13">
        <f t="shared" si="1"/>
        <v>8555297321.9771996</v>
      </c>
      <c r="AC30" s="11">
        <f t="shared" si="2"/>
        <v>23309710.050265219</v>
      </c>
      <c r="AD30" s="13">
        <f t="shared" si="3"/>
        <v>33815404.434692487</v>
      </c>
    </row>
    <row r="31" spans="1:30" ht="15" x14ac:dyDescent="0.35">
      <c r="A31" s="5">
        <v>30</v>
      </c>
      <c r="B31" s="5" t="s">
        <v>55</v>
      </c>
      <c r="C31" s="10">
        <v>2564137783.1399999</v>
      </c>
      <c r="D31" s="10">
        <v>3113330655.1700001</v>
      </c>
      <c r="E31" s="10">
        <v>2209928509.9899998</v>
      </c>
      <c r="F31" s="10">
        <v>2939066573.1999998</v>
      </c>
      <c r="G31" s="10">
        <v>2157102117.0799999</v>
      </c>
      <c r="H31" s="10">
        <v>2609768121.2600002</v>
      </c>
      <c r="I31" s="10">
        <v>2248513167.3299999</v>
      </c>
      <c r="J31" s="10">
        <v>2521233980.3299999</v>
      </c>
      <c r="K31" s="10">
        <v>2105441605.75</v>
      </c>
      <c r="L31" s="10">
        <v>2654634477.7800002</v>
      </c>
      <c r="M31" s="10">
        <v>4134311861.1599998</v>
      </c>
      <c r="N31" s="10">
        <v>4683504733.1899996</v>
      </c>
      <c r="O31" s="10">
        <v>3358247457.3699999</v>
      </c>
      <c r="P31" s="10">
        <v>3997412924.9899998</v>
      </c>
      <c r="Q31" s="10">
        <v>3539267463.3200002</v>
      </c>
      <c r="R31" s="10">
        <v>4230403513.1700001</v>
      </c>
      <c r="S31" s="10">
        <v>2799923722.48</v>
      </c>
      <c r="T31" s="10">
        <v>3491059772.3299999</v>
      </c>
      <c r="U31" s="10">
        <v>2889759297.0700002</v>
      </c>
      <c r="V31" s="10">
        <v>3580895346.9200001</v>
      </c>
      <c r="W31" s="11">
        <v>2684833954.0565996</v>
      </c>
      <c r="X31" s="11">
        <v>3375970003.9066</v>
      </c>
      <c r="Y31" s="6">
        <v>2823058186.1868</v>
      </c>
      <c r="Z31" s="6">
        <v>3514194236.0367999</v>
      </c>
      <c r="AA31" s="10">
        <f t="shared" si="0"/>
        <v>33514525124.933395</v>
      </c>
      <c r="AB31" s="13">
        <f t="shared" si="1"/>
        <v>37028719360.970192</v>
      </c>
      <c r="AC31" s="11">
        <f t="shared" si="2"/>
        <v>132468478.75467744</v>
      </c>
      <c r="AD31" s="13">
        <f t="shared" si="3"/>
        <v>146358574.54928929</v>
      </c>
    </row>
    <row r="32" spans="1:30" ht="15" x14ac:dyDescent="0.35">
      <c r="A32" s="5">
        <v>31</v>
      </c>
      <c r="B32" s="5" t="s">
        <v>56</v>
      </c>
      <c r="C32" s="10">
        <v>1533946411.02</v>
      </c>
      <c r="D32" s="10">
        <v>2671610916.02</v>
      </c>
      <c r="E32" s="10">
        <v>1111836234.76</v>
      </c>
      <c r="F32" s="10">
        <v>2471640485.7600002</v>
      </c>
      <c r="G32" s="10">
        <v>1400156925.5599999</v>
      </c>
      <c r="H32" s="10">
        <v>2266585696.6599998</v>
      </c>
      <c r="I32" s="10">
        <v>1332264324.23</v>
      </c>
      <c r="J32" s="10">
        <v>2108720499.74</v>
      </c>
      <c r="K32" s="10">
        <v>1033584304.35</v>
      </c>
      <c r="L32" s="10">
        <v>2258833653.2600002</v>
      </c>
      <c r="M32" s="10">
        <v>2831526197.3800001</v>
      </c>
      <c r="N32" s="10">
        <v>4056775546.29</v>
      </c>
      <c r="O32" s="10">
        <v>2305207986.54</v>
      </c>
      <c r="P32" s="10">
        <v>3530457335.4499998</v>
      </c>
      <c r="Q32" s="10">
        <v>2317415280.3600001</v>
      </c>
      <c r="R32" s="10">
        <v>3643717202.8499999</v>
      </c>
      <c r="S32" s="10">
        <v>1714705142.02</v>
      </c>
      <c r="T32" s="10">
        <v>3041007064.54</v>
      </c>
      <c r="U32" s="10">
        <v>1754409964.4200001</v>
      </c>
      <c r="V32" s="10">
        <v>3033630601.25</v>
      </c>
      <c r="W32" s="11">
        <v>1544371196.5201001</v>
      </c>
      <c r="X32" s="11">
        <v>2823133405.3501</v>
      </c>
      <c r="Y32" s="6">
        <v>1684881773.1673999</v>
      </c>
      <c r="Z32" s="6">
        <v>2964102411.9973998</v>
      </c>
      <c r="AA32" s="10">
        <f t="shared" si="0"/>
        <v>20564305740.327499</v>
      </c>
      <c r="AB32" s="13">
        <f t="shared" si="1"/>
        <v>23528408152.324898</v>
      </c>
      <c r="AC32" s="11">
        <f t="shared" si="2"/>
        <v>81281840.870859683</v>
      </c>
      <c r="AD32" s="13">
        <f t="shared" si="3"/>
        <v>92997660.681126073</v>
      </c>
    </row>
    <row r="33" spans="1:30" ht="15" x14ac:dyDescent="0.35">
      <c r="A33" s="5">
        <v>32</v>
      </c>
      <c r="B33" s="5" t="s">
        <v>57</v>
      </c>
      <c r="C33" s="10">
        <v>5426952236.8299999</v>
      </c>
      <c r="D33" s="10">
        <v>7162812589.5299997</v>
      </c>
      <c r="E33" s="10">
        <v>4887442606.3100004</v>
      </c>
      <c r="F33" s="10">
        <v>6623302959.0100002</v>
      </c>
      <c r="G33" s="10">
        <v>4076998953.6599998</v>
      </c>
      <c r="H33" s="10">
        <v>5854651669.4200001</v>
      </c>
      <c r="I33" s="10">
        <v>4061175372.9099998</v>
      </c>
      <c r="J33" s="10">
        <v>5838828088.6700001</v>
      </c>
      <c r="K33" s="10">
        <v>4354473497.6199999</v>
      </c>
      <c r="L33" s="10">
        <v>6499362343.29</v>
      </c>
      <c r="M33" s="10">
        <v>6826140006.25</v>
      </c>
      <c r="N33" s="10">
        <v>8971028851.9200001</v>
      </c>
      <c r="O33" s="10">
        <v>8331600748.2200003</v>
      </c>
      <c r="P33" s="10">
        <v>10270116486.889999</v>
      </c>
      <c r="Q33" s="10">
        <v>9051187769.5900002</v>
      </c>
      <c r="R33" s="10">
        <v>11000281897.23</v>
      </c>
      <c r="S33" s="10">
        <v>7619519203.6700001</v>
      </c>
      <c r="T33" s="10">
        <v>9499463663.6000004</v>
      </c>
      <c r="U33" s="10">
        <v>10844010325.35</v>
      </c>
      <c r="V33" s="10">
        <v>12493826586.93</v>
      </c>
      <c r="W33" s="11">
        <v>9701165470.8006001</v>
      </c>
      <c r="X33" s="11">
        <v>11350981732.3806</v>
      </c>
      <c r="Y33" s="6">
        <v>7916328550.1027994</v>
      </c>
      <c r="Z33" s="6">
        <v>9746090002.8628006</v>
      </c>
      <c r="AA33" s="10">
        <f t="shared" si="0"/>
        <v>83096994741.3134</v>
      </c>
      <c r="AB33" s="13">
        <f t="shared" si="1"/>
        <v>92843084744.176208</v>
      </c>
      <c r="AC33" s="11">
        <f t="shared" si="2"/>
        <v>328446619.53088301</v>
      </c>
      <c r="AD33" s="13">
        <f t="shared" si="3"/>
        <v>366968714.40385854</v>
      </c>
    </row>
    <row r="34" spans="1:30" ht="15" x14ac:dyDescent="0.35">
      <c r="A34" s="5">
        <v>33</v>
      </c>
      <c r="B34" s="5" t="s">
        <v>58</v>
      </c>
      <c r="C34" s="10">
        <v>2675081791.5</v>
      </c>
      <c r="D34" s="10">
        <v>2790819082.96</v>
      </c>
      <c r="E34" s="10">
        <v>2327122322.29</v>
      </c>
      <c r="F34" s="10">
        <v>2622804804.9299998</v>
      </c>
      <c r="G34" s="10">
        <v>2113959804.96</v>
      </c>
      <c r="H34" s="10">
        <v>2318829618.3899999</v>
      </c>
      <c r="I34" s="10">
        <v>2190888327.48</v>
      </c>
      <c r="J34" s="10">
        <v>2215812949.73</v>
      </c>
      <c r="K34" s="10">
        <v>2165593899.0999999</v>
      </c>
      <c r="L34" s="10">
        <v>2371303786.1500001</v>
      </c>
      <c r="M34" s="10">
        <v>4080801420.9099998</v>
      </c>
      <c r="N34" s="10">
        <v>4286511307.96</v>
      </c>
      <c r="O34" s="10">
        <v>3513193040.2199998</v>
      </c>
      <c r="P34" s="10">
        <v>3718902927.27</v>
      </c>
      <c r="Q34" s="10">
        <v>3625781631.2800002</v>
      </c>
      <c r="R34" s="10">
        <v>3843000086.1999998</v>
      </c>
      <c r="S34" s="10">
        <v>2950906277.8899999</v>
      </c>
      <c r="T34" s="10">
        <v>3168124732.8099999</v>
      </c>
      <c r="U34" s="10">
        <v>2943101804.0500002</v>
      </c>
      <c r="V34" s="10">
        <v>3160320258.9699998</v>
      </c>
      <c r="W34" s="11">
        <v>2737776389.3687</v>
      </c>
      <c r="X34" s="11">
        <v>2954994844.2886996</v>
      </c>
      <c r="Y34" s="6">
        <v>2843630154.8571</v>
      </c>
      <c r="Z34" s="6">
        <v>3060848609.7771001</v>
      </c>
      <c r="AA34" s="10">
        <f t="shared" si="0"/>
        <v>34167836863.9058</v>
      </c>
      <c r="AB34" s="13">
        <f t="shared" si="1"/>
        <v>37228685473.682899</v>
      </c>
      <c r="AC34" s="11">
        <f t="shared" si="2"/>
        <v>135050738.59251305</v>
      </c>
      <c r="AD34" s="13">
        <f t="shared" si="3"/>
        <v>147148954.44143438</v>
      </c>
    </row>
    <row r="35" spans="1:30" ht="15" x14ac:dyDescent="0.35">
      <c r="A35" s="5">
        <v>34</v>
      </c>
      <c r="B35" s="5" t="s">
        <v>59</v>
      </c>
      <c r="C35" s="10">
        <v>2108956563.1900001</v>
      </c>
      <c r="D35" s="10">
        <v>2457918672.25</v>
      </c>
      <c r="E35" s="10">
        <v>1898258023.1700001</v>
      </c>
      <c r="F35" s="10">
        <v>2247994962.3099999</v>
      </c>
      <c r="G35" s="10">
        <v>1894629903.9300001</v>
      </c>
      <c r="H35" s="10">
        <v>2009356118.8900001</v>
      </c>
      <c r="I35" s="10">
        <v>1901217794.46</v>
      </c>
      <c r="J35" s="10">
        <v>1925971413.8299999</v>
      </c>
      <c r="K35" s="10">
        <v>1712426074.23</v>
      </c>
      <c r="L35" s="10">
        <v>2062163013.3699999</v>
      </c>
      <c r="M35" s="10">
        <v>3367234799</v>
      </c>
      <c r="N35" s="10">
        <v>3716971738.1399999</v>
      </c>
      <c r="O35" s="10">
        <v>2707924001.4400001</v>
      </c>
      <c r="P35" s="10">
        <v>3240389909.6999998</v>
      </c>
      <c r="Q35" s="10">
        <v>2895570057.4000001</v>
      </c>
      <c r="R35" s="10">
        <v>3339820037.9499998</v>
      </c>
      <c r="S35" s="10">
        <v>2319440761.73</v>
      </c>
      <c r="T35" s="10">
        <v>2763690742.2800002</v>
      </c>
      <c r="U35" s="10">
        <v>2323554402.98</v>
      </c>
      <c r="V35" s="10">
        <v>2755942039.7800002</v>
      </c>
      <c r="W35" s="11">
        <v>2004718216.4450002</v>
      </c>
      <c r="X35" s="11">
        <v>2576657896.9949999</v>
      </c>
      <c r="Y35" s="6">
        <v>2151169661.5679998</v>
      </c>
      <c r="Z35" s="6">
        <v>2683237329.618</v>
      </c>
      <c r="AA35" s="10">
        <f t="shared" si="0"/>
        <v>27285100259.542999</v>
      </c>
      <c r="AB35" s="13">
        <f t="shared" si="1"/>
        <v>29968337589.160999</v>
      </c>
      <c r="AC35" s="11">
        <f t="shared" si="2"/>
        <v>107846246.0851502</v>
      </c>
      <c r="AD35" s="13">
        <f t="shared" si="3"/>
        <v>118451927.22988537</v>
      </c>
    </row>
    <row r="36" spans="1:30" ht="15" x14ac:dyDescent="0.35">
      <c r="A36" s="5">
        <v>35</v>
      </c>
      <c r="B36" s="5" t="s">
        <v>60</v>
      </c>
      <c r="C36" s="10">
        <v>2364557968.7199998</v>
      </c>
      <c r="D36" s="10">
        <v>2481107573.4400001</v>
      </c>
      <c r="E36" s="10">
        <v>2202678657.54</v>
      </c>
      <c r="F36" s="10">
        <v>2319228262.2600002</v>
      </c>
      <c r="G36" s="10">
        <v>1935007610.97</v>
      </c>
      <c r="H36" s="10">
        <v>2051557215.6900001</v>
      </c>
      <c r="I36" s="10">
        <v>1959063967.71</v>
      </c>
      <c r="J36" s="10">
        <v>1985640976.8399999</v>
      </c>
      <c r="K36" s="10">
        <v>1999612020.3099999</v>
      </c>
      <c r="L36" s="10">
        <v>2116161625.03</v>
      </c>
      <c r="M36" s="10">
        <v>3679781132.0799999</v>
      </c>
      <c r="N36" s="10">
        <v>3796330736.8000002</v>
      </c>
      <c r="O36" s="10">
        <v>3227229135.8800001</v>
      </c>
      <c r="P36" s="10">
        <v>3343777740.5999999</v>
      </c>
      <c r="Q36" s="10">
        <v>3295188262.9099998</v>
      </c>
      <c r="R36" s="10">
        <v>3427865662.1599998</v>
      </c>
      <c r="S36" s="10">
        <v>2729206927.1300001</v>
      </c>
      <c r="T36" s="10">
        <v>2861884326.3800001</v>
      </c>
      <c r="U36" s="10">
        <v>2718155512.0799999</v>
      </c>
      <c r="V36" s="10">
        <v>2850832911.3299999</v>
      </c>
      <c r="W36" s="11">
        <v>2530544295.4980001</v>
      </c>
      <c r="X36" s="11">
        <v>2663221694.7480001</v>
      </c>
      <c r="Y36" s="6">
        <v>2612836178.3572001</v>
      </c>
      <c r="Z36" s="6">
        <v>2745513577.6072001</v>
      </c>
      <c r="AA36" s="10">
        <f t="shared" si="0"/>
        <v>31253861669.185204</v>
      </c>
      <c r="AB36" s="13">
        <f t="shared" si="1"/>
        <v>33999375246.792404</v>
      </c>
      <c r="AC36" s="11">
        <f t="shared" si="2"/>
        <v>123533050.07583085</v>
      </c>
      <c r="AD36" s="13">
        <f t="shared" si="3"/>
        <v>134384882.39838895</v>
      </c>
    </row>
    <row r="37" spans="1:30" ht="15" x14ac:dyDescent="0.35">
      <c r="A37" s="5">
        <v>36</v>
      </c>
      <c r="B37" s="5" t="s">
        <v>61</v>
      </c>
      <c r="C37" s="10">
        <v>1622777644.73</v>
      </c>
      <c r="D37" s="10">
        <v>2552965704.6900001</v>
      </c>
      <c r="E37" s="10">
        <v>1471857771.21</v>
      </c>
      <c r="F37" s="10">
        <v>2402045831.1700001</v>
      </c>
      <c r="G37" s="10">
        <v>1536307219.48</v>
      </c>
      <c r="H37" s="10">
        <v>2133379157.0599999</v>
      </c>
      <c r="I37" s="10">
        <v>1529897074.5899999</v>
      </c>
      <c r="J37" s="10">
        <v>2036996416.5799999</v>
      </c>
      <c r="K37" s="10">
        <v>1242750215.6700001</v>
      </c>
      <c r="L37" s="10">
        <v>2172938275.6300001</v>
      </c>
      <c r="M37" s="10">
        <v>2947469090.6500001</v>
      </c>
      <c r="N37" s="10">
        <v>3877657150.6100001</v>
      </c>
      <c r="O37" s="10">
        <v>2378911091.5300002</v>
      </c>
      <c r="P37" s="10">
        <v>3402498349.4699998</v>
      </c>
      <c r="Q37" s="10">
        <v>2584417920.5900002</v>
      </c>
      <c r="R37" s="10">
        <v>3519261402.8000002</v>
      </c>
      <c r="S37" s="10">
        <v>2002794299.1600001</v>
      </c>
      <c r="T37" s="10">
        <v>2937637781.3699999</v>
      </c>
      <c r="U37" s="10">
        <v>1949697106.9100001</v>
      </c>
      <c r="V37" s="10">
        <v>2884540589.1199999</v>
      </c>
      <c r="W37" s="11">
        <v>1788476605.8576996</v>
      </c>
      <c r="X37" s="11">
        <v>2723320088.0676999</v>
      </c>
      <c r="Y37" s="6">
        <v>1862992155.1401999</v>
      </c>
      <c r="Z37" s="6">
        <v>2797835637.3502002</v>
      </c>
      <c r="AA37" s="10">
        <f t="shared" si="0"/>
        <v>22918348195.517902</v>
      </c>
      <c r="AB37" s="13">
        <f t="shared" si="1"/>
        <v>25716183832.868103</v>
      </c>
      <c r="AC37" s="11">
        <f t="shared" si="2"/>
        <v>90586356.504023328</v>
      </c>
      <c r="AD37" s="13">
        <f t="shared" si="3"/>
        <v>101644995.38683045</v>
      </c>
    </row>
    <row r="38" spans="1:30" ht="15" x14ac:dyDescent="0.35">
      <c r="A38" s="8">
        <v>37</v>
      </c>
      <c r="B38" s="8" t="s">
        <v>62</v>
      </c>
      <c r="C38" s="10">
        <v>3403744432.9499998</v>
      </c>
      <c r="E38" s="10">
        <v>3161887742.1199999</v>
      </c>
      <c r="G38" s="10">
        <v>2808032698.9899998</v>
      </c>
      <c r="I38" s="10">
        <v>2679866369.6500001</v>
      </c>
      <c r="K38" s="10">
        <v>2884409062.77</v>
      </c>
      <c r="M38" s="10">
        <v>5288955385.6999998</v>
      </c>
      <c r="O38" s="10">
        <v>4607765550.9700003</v>
      </c>
      <c r="Q38" s="10">
        <v>4705973963.8800001</v>
      </c>
      <c r="S38" s="12">
        <v>3904984065.1399999</v>
      </c>
      <c r="U38" s="10">
        <v>3865216308.9299998</v>
      </c>
      <c r="W38" s="11">
        <v>3585957830.8733001</v>
      </c>
      <c r="X38" s="11"/>
      <c r="Y38" s="9">
        <v>3695338374.0946999</v>
      </c>
      <c r="Z38" s="9"/>
      <c r="AA38" s="10">
        <f t="shared" si="0"/>
        <v>44592131786.067993</v>
      </c>
      <c r="AC38" s="11">
        <f t="shared" si="2"/>
        <v>176253485.32042685</v>
      </c>
      <c r="AD38" s="13">
        <f t="shared" si="3"/>
        <v>0</v>
      </c>
    </row>
    <row r="39" spans="1:30" x14ac:dyDescent="0.3">
      <c r="AA39" s="10">
        <f>SUM(AA2:AA38)</f>
        <v>1349974624338.7173</v>
      </c>
      <c r="AC39" s="11">
        <f t="shared" si="2"/>
        <v>5335868080.3901873</v>
      </c>
    </row>
    <row r="40" spans="1:30" x14ac:dyDescent="0.3">
      <c r="C40" s="10"/>
    </row>
    <row r="41" spans="1:30" x14ac:dyDescent="0.3">
      <c r="C41" s="10"/>
      <c r="S41" s="11"/>
    </row>
    <row r="42" spans="1:30" x14ac:dyDescent="0.3">
      <c r="C42" s="10"/>
    </row>
    <row r="43" spans="1:30" x14ac:dyDescent="0.3">
      <c r="C43" s="10"/>
    </row>
    <row r="44" spans="1:30" x14ac:dyDescent="0.3">
      <c r="C44" s="10"/>
    </row>
    <row r="45" spans="1:30" x14ac:dyDescent="0.3">
      <c r="C45" s="10"/>
    </row>
    <row r="47" spans="1:30" x14ac:dyDescent="0.3">
      <c r="C47" s="10"/>
    </row>
    <row r="48" spans="1:30" x14ac:dyDescent="0.3">
      <c r="C48" s="10"/>
    </row>
    <row r="49" spans="3:3" x14ac:dyDescent="0.3">
      <c r="C49" s="10"/>
    </row>
    <row r="50" spans="3:3" x14ac:dyDescent="0.3">
      <c r="C5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"/>
  <sheetViews>
    <sheetView topLeftCell="T19" workbookViewId="0">
      <selection activeCell="AC39" sqref="AC39"/>
    </sheetView>
  </sheetViews>
  <sheetFormatPr defaultRowHeight="14.4" x14ac:dyDescent="0.3"/>
  <cols>
    <col min="1" max="1" width="6" customWidth="1"/>
    <col min="2" max="26" width="18" customWidth="1"/>
    <col min="27" max="27" width="20.5546875" customWidth="1"/>
    <col min="28" max="28" width="21.109375" customWidth="1"/>
    <col min="29" max="29" width="17.6640625" customWidth="1"/>
    <col min="30" max="30" width="16.6640625" customWidth="1"/>
  </cols>
  <sheetData>
    <row r="1" spans="1:30" ht="24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66</v>
      </c>
      <c r="AB1" s="3" t="s">
        <v>67</v>
      </c>
      <c r="AC1" s="3" t="s">
        <v>185</v>
      </c>
      <c r="AD1" s="3" t="s">
        <v>186</v>
      </c>
    </row>
    <row r="2" spans="1:30" ht="18" customHeight="1" x14ac:dyDescent="0.35">
      <c r="A2" s="4">
        <v>1</v>
      </c>
      <c r="B2" s="5" t="s">
        <v>26</v>
      </c>
      <c r="C2" s="6">
        <v>3036639008.0753002</v>
      </c>
      <c r="D2" s="6">
        <v>3407196340.3952999</v>
      </c>
      <c r="E2" s="6">
        <v>2842595518.6006999</v>
      </c>
      <c r="F2" s="6">
        <v>3215088595.1967001</v>
      </c>
      <c r="G2" s="6">
        <v>2865213831.8104</v>
      </c>
      <c r="H2" s="6">
        <v>3381740018.8404002</v>
      </c>
      <c r="I2" s="6">
        <v>2589010962.1197</v>
      </c>
      <c r="J2" s="6">
        <v>3105537149.1497002</v>
      </c>
      <c r="K2" s="6">
        <v>2826050192.8639002</v>
      </c>
      <c r="L2" s="6">
        <v>3342576379.8938999</v>
      </c>
      <c r="M2" s="6">
        <v>4117743387.6259999</v>
      </c>
      <c r="N2" s="6">
        <v>4562253019.4359999</v>
      </c>
      <c r="O2" s="6">
        <v>3013493101.8125</v>
      </c>
      <c r="P2" s="6">
        <v>3494093340.6824999</v>
      </c>
      <c r="Q2" s="6">
        <v>4038368716.5228</v>
      </c>
      <c r="R2" s="6">
        <v>4517033211.1227999</v>
      </c>
      <c r="S2" s="6">
        <v>3523602969.0489988</v>
      </c>
      <c r="T2" s="6">
        <v>3987031407.1890001</v>
      </c>
      <c r="U2" s="6">
        <v>3483279791.4324002</v>
      </c>
      <c r="V2" s="6">
        <v>3946708229.5724001</v>
      </c>
      <c r="W2" s="6">
        <v>4003688799.052599</v>
      </c>
      <c r="X2" s="6">
        <v>4467117237.1926003</v>
      </c>
      <c r="Y2" s="6">
        <v>4358767591.9625998</v>
      </c>
      <c r="Z2" s="6">
        <v>4822196030.1026001</v>
      </c>
      <c r="AA2" s="10">
        <f>SUM(C2,E2,G2,I2,K2,M2,O2,Q2,S2,U2,W2,Y2)</f>
        <v>40698453870.927902</v>
      </c>
      <c r="AB2" s="11">
        <v>14917141805.799999</v>
      </c>
      <c r="AC2" s="11">
        <f>AA2/305</f>
        <v>133437553.67517345</v>
      </c>
      <c r="AD2" s="13">
        <f>AB2/305</f>
        <v>48908661.658360653</v>
      </c>
    </row>
    <row r="3" spans="1:30" ht="18" customHeight="1" x14ac:dyDescent="0.35">
      <c r="A3" s="4">
        <v>2</v>
      </c>
      <c r="B3" s="5" t="s">
        <v>27</v>
      </c>
      <c r="C3" s="6">
        <v>2829872524.7660999</v>
      </c>
      <c r="D3" s="6">
        <v>3212250619.6360998</v>
      </c>
      <c r="E3" s="6">
        <v>2510247614.4826002</v>
      </c>
      <c r="F3" s="6">
        <v>2892625709.3526001</v>
      </c>
      <c r="G3" s="6">
        <v>2812395501.0078001</v>
      </c>
      <c r="H3" s="6">
        <v>3194773595.8778</v>
      </c>
      <c r="I3" s="6">
        <v>2498524446.2309999</v>
      </c>
      <c r="J3" s="6">
        <v>2880902541.1009998</v>
      </c>
      <c r="K3" s="6">
        <v>2808113875.8245001</v>
      </c>
      <c r="L3" s="6">
        <v>3190491970.6945</v>
      </c>
      <c r="M3" s="6">
        <v>4117703489.1051998</v>
      </c>
      <c r="N3" s="6">
        <v>4500081583.9751997</v>
      </c>
      <c r="O3" s="6">
        <v>2875535997.5348001</v>
      </c>
      <c r="P3" s="6">
        <v>3241658810.2747998</v>
      </c>
      <c r="Q3" s="6">
        <v>4020934818.6903</v>
      </c>
      <c r="R3" s="6">
        <v>4387057631.4302998</v>
      </c>
      <c r="S3" s="6">
        <v>3435339398.6589999</v>
      </c>
      <c r="T3" s="6">
        <v>3801462211.3990002</v>
      </c>
      <c r="U3" s="6">
        <v>3293101431.062201</v>
      </c>
      <c r="V3" s="6">
        <v>3659224243.8021998</v>
      </c>
      <c r="W3" s="6">
        <v>3779896818.3055</v>
      </c>
      <c r="X3" s="6">
        <v>4146019631.0454998</v>
      </c>
      <c r="Y3" s="6">
        <v>4060044183.2534008</v>
      </c>
      <c r="Z3" s="6">
        <v>4426166995.9934006</v>
      </c>
      <c r="AA3" s="10">
        <f t="shared" ref="AA3:AA38" si="0">SUM(C3,E3,G3,I3,K3,M3,O3,Q3,S3,U3,W3,Y3)</f>
        <v>39041710098.922409</v>
      </c>
      <c r="AB3" s="11">
        <v>6201369567.2299995</v>
      </c>
      <c r="AC3" s="11">
        <f t="shared" ref="AC3:AC39" si="1">AA3/305</f>
        <v>128005606.88171281</v>
      </c>
      <c r="AD3" s="13">
        <f t="shared" ref="AD3:AD38" si="2">AB3/305</f>
        <v>20332359.23681967</v>
      </c>
    </row>
    <row r="4" spans="1:30" ht="18" customHeight="1" x14ac:dyDescent="0.35">
      <c r="A4" s="4">
        <v>3</v>
      </c>
      <c r="B4" s="5" t="s">
        <v>28</v>
      </c>
      <c r="C4" s="6">
        <v>13084006002.3887</v>
      </c>
      <c r="D4" s="6">
        <v>14175214116.9687</v>
      </c>
      <c r="E4" s="6">
        <v>12667764008.749599</v>
      </c>
      <c r="F4" s="6">
        <v>13758972123.329599</v>
      </c>
      <c r="G4" s="6">
        <v>13612312700.2355</v>
      </c>
      <c r="H4" s="6">
        <v>14703520814.8155</v>
      </c>
      <c r="I4" s="6">
        <v>11092130060.1978</v>
      </c>
      <c r="J4" s="6">
        <v>12183338174.7778</v>
      </c>
      <c r="K4" s="6">
        <v>9313025112.0911999</v>
      </c>
      <c r="L4" s="6">
        <v>10404233226.6712</v>
      </c>
      <c r="M4" s="6">
        <v>11968550165.0114</v>
      </c>
      <c r="N4" s="6">
        <v>13059758279.5914</v>
      </c>
      <c r="O4" s="6">
        <v>9969807452.9721012</v>
      </c>
      <c r="P4" s="6">
        <v>11058523401.1721</v>
      </c>
      <c r="Q4" s="6">
        <v>12947920492.1922</v>
      </c>
      <c r="R4" s="6">
        <v>14036636440.3922</v>
      </c>
      <c r="S4" s="6">
        <v>12933870220.623301</v>
      </c>
      <c r="T4" s="6">
        <v>14022586168.823299</v>
      </c>
      <c r="U4" s="6">
        <v>13168151632.1015</v>
      </c>
      <c r="V4" s="6">
        <v>14256867580.3015</v>
      </c>
      <c r="W4" s="6">
        <v>13733277992.606501</v>
      </c>
      <c r="X4" s="6">
        <v>14821993940.806499</v>
      </c>
      <c r="Y4" s="6">
        <v>16558936769.5063</v>
      </c>
      <c r="Z4" s="6">
        <v>17647652717.706299</v>
      </c>
      <c r="AA4" s="10">
        <f t="shared" si="0"/>
        <v>151049752608.67612</v>
      </c>
      <c r="AB4" s="11">
        <v>15956354035.299999</v>
      </c>
      <c r="AC4" s="11">
        <f t="shared" si="1"/>
        <v>495245090.52024955</v>
      </c>
      <c r="AD4" s="13">
        <f t="shared" si="2"/>
        <v>52315914.869836062</v>
      </c>
    </row>
    <row r="5" spans="1:30" ht="18" customHeight="1" x14ac:dyDescent="0.35">
      <c r="A5" s="4">
        <v>4</v>
      </c>
      <c r="B5" s="5" t="s">
        <v>29</v>
      </c>
      <c r="C5" s="6">
        <v>3129726536.9106002</v>
      </c>
      <c r="D5" s="6">
        <v>3276285556.9906001</v>
      </c>
      <c r="E5" s="6">
        <v>2829008130.0584998</v>
      </c>
      <c r="F5" s="6">
        <v>2975567150.1385002</v>
      </c>
      <c r="G5" s="6">
        <v>3099878740.2872</v>
      </c>
      <c r="H5" s="6">
        <v>3246437760.3671999</v>
      </c>
      <c r="I5" s="6">
        <v>2831063127.2068</v>
      </c>
      <c r="J5" s="6">
        <v>2977622147.2867999</v>
      </c>
      <c r="K5" s="6">
        <v>3235566935.5267</v>
      </c>
      <c r="L5" s="6">
        <v>3382125955.6066999</v>
      </c>
      <c r="M5" s="6">
        <v>4449284520.4886999</v>
      </c>
      <c r="N5" s="6">
        <v>4595843540.5686998</v>
      </c>
      <c r="O5" s="6">
        <v>3190071778.901</v>
      </c>
      <c r="P5" s="6">
        <v>3333485631.3210001</v>
      </c>
      <c r="Q5" s="6">
        <v>4333758309.8634005</v>
      </c>
      <c r="R5" s="6">
        <v>4477172162.2833996</v>
      </c>
      <c r="S5" s="6">
        <v>3742966220.4134002</v>
      </c>
      <c r="T5" s="6">
        <v>3886380072.8333998</v>
      </c>
      <c r="U5" s="6">
        <v>3695363479.8885989</v>
      </c>
      <c r="V5" s="6">
        <v>3838777332.308599</v>
      </c>
      <c r="W5" s="6">
        <v>4063313919.4734001</v>
      </c>
      <c r="X5" s="6">
        <v>4206727771.8934002</v>
      </c>
      <c r="Y5" s="6">
        <v>4371819357.5888996</v>
      </c>
      <c r="Z5" s="6">
        <v>4498184203.5388994</v>
      </c>
      <c r="AA5" s="10">
        <f t="shared" si="0"/>
        <v>42971821056.607193</v>
      </c>
      <c r="AB5" s="11">
        <v>17365385830.509998</v>
      </c>
      <c r="AC5" s="11">
        <f t="shared" si="1"/>
        <v>140891216.57903999</v>
      </c>
      <c r="AD5" s="13">
        <f t="shared" si="2"/>
        <v>56935691.247573763</v>
      </c>
    </row>
    <row r="6" spans="1:30" ht="18" customHeight="1" x14ac:dyDescent="0.35">
      <c r="A6" s="4">
        <v>5</v>
      </c>
      <c r="B6" s="5" t="s">
        <v>30</v>
      </c>
      <c r="C6" s="6">
        <v>2922276195.3386002</v>
      </c>
      <c r="D6" s="6">
        <v>3825485943.9186001</v>
      </c>
      <c r="E6" s="6">
        <v>2544057907.7983999</v>
      </c>
      <c r="F6" s="6">
        <v>3447267656.3783998</v>
      </c>
      <c r="G6" s="6">
        <v>2864537224.7698002</v>
      </c>
      <c r="H6" s="6">
        <v>3767746973.3498001</v>
      </c>
      <c r="I6" s="6">
        <v>2520015644.0363998</v>
      </c>
      <c r="J6" s="6">
        <v>3423225392.6163998</v>
      </c>
      <c r="K6" s="6">
        <v>2875175028.5195999</v>
      </c>
      <c r="L6" s="6">
        <v>3778384777.0995998</v>
      </c>
      <c r="M6" s="6">
        <v>4453800192.1764994</v>
      </c>
      <c r="N6" s="6">
        <v>5357009940.7565002</v>
      </c>
      <c r="O6" s="6">
        <v>2952271002.9295001</v>
      </c>
      <c r="P6" s="6">
        <v>3833198951.9994998</v>
      </c>
      <c r="Q6" s="6">
        <v>4349048789.3151999</v>
      </c>
      <c r="R6" s="6">
        <v>5229976738.3852015</v>
      </c>
      <c r="S6" s="6">
        <v>3799796780.0907998</v>
      </c>
      <c r="T6" s="6">
        <v>4521168833.1208</v>
      </c>
      <c r="U6" s="6">
        <v>3617733675.1059999</v>
      </c>
      <c r="V6" s="6">
        <v>4339105728.1359997</v>
      </c>
      <c r="W6" s="6">
        <v>4186201672.0956001</v>
      </c>
      <c r="X6" s="6">
        <v>4907573725.1255999</v>
      </c>
      <c r="Y6" s="6">
        <v>4524885459.4219999</v>
      </c>
      <c r="Z6" s="6">
        <v>5246257512.4519997</v>
      </c>
      <c r="AA6" s="10">
        <f t="shared" si="0"/>
        <v>41609799571.598396</v>
      </c>
      <c r="AB6" s="11">
        <v>4369411450.2700005</v>
      </c>
      <c r="AC6" s="11">
        <f t="shared" si="1"/>
        <v>136425572.36589637</v>
      </c>
      <c r="AD6" s="13">
        <f t="shared" si="2"/>
        <v>14325939.181213116</v>
      </c>
    </row>
    <row r="7" spans="1:30" ht="18" customHeight="1" x14ac:dyDescent="0.35">
      <c r="A7" s="4">
        <v>6</v>
      </c>
      <c r="B7" s="5" t="s">
        <v>31</v>
      </c>
      <c r="C7" s="6">
        <v>7982833040.2776995</v>
      </c>
      <c r="D7" s="6">
        <v>9385804378.4777012</v>
      </c>
      <c r="E7" s="6">
        <v>8345024748.5533991</v>
      </c>
      <c r="F7" s="6">
        <v>9891251731.5433979</v>
      </c>
      <c r="G7" s="6">
        <v>8873792715.4752979</v>
      </c>
      <c r="H7" s="6">
        <v>10421916225.685301</v>
      </c>
      <c r="I7" s="6">
        <v>7329302435.2145996</v>
      </c>
      <c r="J7" s="6">
        <v>8877425945.4246006</v>
      </c>
      <c r="K7" s="6">
        <v>7413946067.0779991</v>
      </c>
      <c r="L7" s="6">
        <v>8962069577.2880001</v>
      </c>
      <c r="M7" s="6">
        <v>8977338705.4573021</v>
      </c>
      <c r="N7" s="6">
        <v>10525462215.667299</v>
      </c>
      <c r="O7" s="6">
        <v>8228047030.5108995</v>
      </c>
      <c r="P7" s="6">
        <v>9937185181.1708984</v>
      </c>
      <c r="Q7" s="6">
        <v>10887663190.7507</v>
      </c>
      <c r="R7" s="6">
        <v>12608667492.050699</v>
      </c>
      <c r="S7" s="6">
        <v>10094050129.435301</v>
      </c>
      <c r="T7" s="6">
        <v>11735597005.8053</v>
      </c>
      <c r="U7" s="6">
        <v>9939722970.0613003</v>
      </c>
      <c r="V7" s="6">
        <v>11581269846.431299</v>
      </c>
      <c r="W7" s="6">
        <v>10541675312.7414</v>
      </c>
      <c r="X7" s="6">
        <v>12183222189.641399</v>
      </c>
      <c r="Y7" s="6">
        <v>12602484263.7981</v>
      </c>
      <c r="Z7" s="6">
        <v>14244031140.698099</v>
      </c>
      <c r="AA7" s="10">
        <f t="shared" si="0"/>
        <v>111215880609.35399</v>
      </c>
      <c r="AB7" s="11">
        <v>12523812450.59</v>
      </c>
      <c r="AC7" s="11">
        <f t="shared" si="1"/>
        <v>364642231.50607866</v>
      </c>
      <c r="AD7" s="13">
        <f t="shared" si="2"/>
        <v>41061680.165868856</v>
      </c>
    </row>
    <row r="8" spans="1:30" ht="18" customHeight="1" x14ac:dyDescent="0.35">
      <c r="A8" s="4">
        <v>7</v>
      </c>
      <c r="B8" s="5" t="s">
        <v>32</v>
      </c>
      <c r="C8" s="6">
        <v>2971713865.3976002</v>
      </c>
      <c r="D8" s="6">
        <v>3577051760.037601</v>
      </c>
      <c r="E8" s="6">
        <v>2649133130.8421001</v>
      </c>
      <c r="F8" s="6">
        <v>3254471025.4821</v>
      </c>
      <c r="G8" s="6">
        <v>2955105496.8747001</v>
      </c>
      <c r="H8" s="6">
        <v>3560443391.5146999</v>
      </c>
      <c r="I8" s="6">
        <v>2617972097.8677001</v>
      </c>
      <c r="J8" s="6">
        <v>3223309992.5077</v>
      </c>
      <c r="K8" s="6">
        <v>2969736853.7133002</v>
      </c>
      <c r="L8" s="6">
        <v>3575074748.3533001</v>
      </c>
      <c r="M8" s="6">
        <v>4444421579.8748999</v>
      </c>
      <c r="N8" s="6">
        <v>5049759474.5149002</v>
      </c>
      <c r="O8" s="6">
        <v>3041992289.3041</v>
      </c>
      <c r="P8" s="6">
        <v>3622313398.6041002</v>
      </c>
      <c r="Q8" s="6">
        <v>4281701556.9945998</v>
      </c>
      <c r="R8" s="6">
        <v>4881229923.2746</v>
      </c>
      <c r="S8" s="6">
        <v>3714985505.7807002</v>
      </c>
      <c r="T8" s="6">
        <v>4263176074.5606999</v>
      </c>
      <c r="U8" s="6">
        <v>3537914246.9769001</v>
      </c>
      <c r="V8" s="6">
        <v>4086104815.7568998</v>
      </c>
      <c r="W8" s="6">
        <v>4072333063.8221998</v>
      </c>
      <c r="X8" s="6">
        <v>4620523632.6022015</v>
      </c>
      <c r="Y8" s="6">
        <v>4392008016.8720999</v>
      </c>
      <c r="Z8" s="6">
        <v>4940198585.6520996</v>
      </c>
      <c r="AA8" s="10">
        <f t="shared" si="0"/>
        <v>41649017704.3209</v>
      </c>
      <c r="AB8" s="11">
        <v>12399414557.790001</v>
      </c>
      <c r="AC8" s="11">
        <f t="shared" si="1"/>
        <v>136554156.40760952</v>
      </c>
      <c r="AD8" s="13">
        <f t="shared" si="2"/>
        <v>40653818.222262301</v>
      </c>
    </row>
    <row r="9" spans="1:30" ht="18" customHeight="1" x14ac:dyDescent="0.35">
      <c r="A9" s="4">
        <v>8</v>
      </c>
      <c r="B9" s="5" t="s">
        <v>33</v>
      </c>
      <c r="C9" s="6">
        <v>3547353695.1327</v>
      </c>
      <c r="D9" s="6">
        <v>3890325346.632699</v>
      </c>
      <c r="E9" s="6">
        <v>3157997959.6627002</v>
      </c>
      <c r="F9" s="6">
        <v>3500969611.1627002</v>
      </c>
      <c r="G9" s="6">
        <v>3497452585.2333002</v>
      </c>
      <c r="H9" s="6">
        <v>3840424236.7333002</v>
      </c>
      <c r="I9" s="6">
        <v>3111599634.7895002</v>
      </c>
      <c r="J9" s="6">
        <v>3454571286.2895002</v>
      </c>
      <c r="K9" s="6">
        <v>3511155037.9157</v>
      </c>
      <c r="L9" s="6">
        <v>3854126689.415699</v>
      </c>
      <c r="M9" s="6">
        <v>5144254025.3448</v>
      </c>
      <c r="N9" s="6">
        <v>5487225676.8448</v>
      </c>
      <c r="O9" s="6">
        <v>3564697802.0641999</v>
      </c>
      <c r="P9" s="6">
        <v>3905180713.0542002</v>
      </c>
      <c r="Q9" s="6">
        <v>4950479726.9644995</v>
      </c>
      <c r="R9" s="6">
        <v>5290962637.9544992</v>
      </c>
      <c r="S9" s="6">
        <v>4274589794.3681002</v>
      </c>
      <c r="T9" s="6">
        <v>4615072705.3580999</v>
      </c>
      <c r="U9" s="6">
        <v>4070982303.5883002</v>
      </c>
      <c r="V9" s="6">
        <v>4411465214.5783005</v>
      </c>
      <c r="W9" s="6">
        <v>4670070124.5393009</v>
      </c>
      <c r="X9" s="6">
        <v>5010553035.5293007</v>
      </c>
      <c r="Y9" s="6">
        <v>5016676485.4284992</v>
      </c>
      <c r="Z9" s="6">
        <v>5357159396.4185009</v>
      </c>
      <c r="AA9" s="10">
        <f t="shared" si="0"/>
        <v>48517309175.031601</v>
      </c>
      <c r="AB9" s="11">
        <v>4983331049.2399998</v>
      </c>
      <c r="AC9" s="11">
        <f t="shared" si="1"/>
        <v>159073144.83616918</v>
      </c>
      <c r="AD9" s="13">
        <f t="shared" si="2"/>
        <v>16338790.325377049</v>
      </c>
    </row>
    <row r="10" spans="1:30" ht="18" customHeight="1" x14ac:dyDescent="0.35">
      <c r="A10" s="4">
        <v>9</v>
      </c>
      <c r="B10" s="5" t="s">
        <v>34</v>
      </c>
      <c r="C10" s="6">
        <v>1673458690.4862001</v>
      </c>
      <c r="D10" s="6">
        <v>3228256169.6062002</v>
      </c>
      <c r="E10" s="6">
        <v>1338234011.3362999</v>
      </c>
      <c r="F10" s="6">
        <v>2893122548.8762999</v>
      </c>
      <c r="G10" s="6">
        <v>1639380692.0014999</v>
      </c>
      <c r="H10" s="6">
        <v>3194223700.3315001</v>
      </c>
      <c r="I10" s="6">
        <v>1311457714.1758001</v>
      </c>
      <c r="J10" s="6">
        <v>2866300722.5057998</v>
      </c>
      <c r="K10" s="6">
        <v>1628360957.9611001</v>
      </c>
      <c r="L10" s="6">
        <v>3183203966.2911</v>
      </c>
      <c r="M10" s="6">
        <v>2987653341.2925</v>
      </c>
      <c r="N10" s="6">
        <v>4511738202.3325005</v>
      </c>
      <c r="O10" s="6">
        <v>1715657663.0524001</v>
      </c>
      <c r="P10" s="6">
        <v>3246449475.7624002</v>
      </c>
      <c r="Q10" s="6">
        <v>2847879223.2080998</v>
      </c>
      <c r="R10" s="6">
        <v>4378671035.9181004</v>
      </c>
      <c r="S10" s="6">
        <v>2298656583.2992001</v>
      </c>
      <c r="T10" s="6">
        <v>3829448396.0092001</v>
      </c>
      <c r="U10" s="6">
        <v>2131532993.6257</v>
      </c>
      <c r="V10" s="6">
        <v>3662324806.3357</v>
      </c>
      <c r="W10" s="6">
        <v>2607849656.0809002</v>
      </c>
      <c r="X10" s="6">
        <v>4138641468.7909002</v>
      </c>
      <c r="Y10" s="6">
        <v>2872986174.8006001</v>
      </c>
      <c r="Z10" s="6">
        <v>4403777987.5106001</v>
      </c>
      <c r="AA10" s="10">
        <f t="shared" si="0"/>
        <v>25053107701.320305</v>
      </c>
      <c r="AB10" s="11">
        <v>18104562225.619999</v>
      </c>
      <c r="AC10" s="11">
        <f t="shared" si="1"/>
        <v>82141336.725640342</v>
      </c>
      <c r="AD10" s="13">
        <f t="shared" si="2"/>
        <v>59359220.411868848</v>
      </c>
    </row>
    <row r="11" spans="1:30" ht="18" customHeight="1" x14ac:dyDescent="0.35">
      <c r="A11" s="4">
        <v>10</v>
      </c>
      <c r="B11" s="5" t="s">
        <v>35</v>
      </c>
      <c r="C11" s="6">
        <v>7462219976.7223005</v>
      </c>
      <c r="D11" s="6">
        <v>9725687026.0823002</v>
      </c>
      <c r="E11" s="6">
        <v>7909699396.6849995</v>
      </c>
      <c r="F11" s="6">
        <v>10328900971.235001</v>
      </c>
      <c r="G11" s="6">
        <v>7384019038.0990992</v>
      </c>
      <c r="H11" s="6">
        <v>9803220612.6490993</v>
      </c>
      <c r="I11" s="6">
        <v>6239615708.316</v>
      </c>
      <c r="J11" s="6">
        <v>8658817282.8659992</v>
      </c>
      <c r="K11" s="6">
        <v>6489812942.3732004</v>
      </c>
      <c r="L11" s="6">
        <v>8909014516.9232006</v>
      </c>
      <c r="M11" s="6">
        <v>8258856835.6297979</v>
      </c>
      <c r="N11" s="6">
        <v>10678058410.1798</v>
      </c>
      <c r="O11" s="6">
        <v>8051534331.7937002</v>
      </c>
      <c r="P11" s="6">
        <v>10505673863.6437</v>
      </c>
      <c r="Q11" s="6">
        <v>14226599702.9522</v>
      </c>
      <c r="R11" s="6">
        <v>16525004709.6122</v>
      </c>
      <c r="S11" s="6">
        <v>12811119492.312901</v>
      </c>
      <c r="T11" s="6">
        <v>15109524498.9729</v>
      </c>
      <c r="U11" s="6">
        <v>12098181523.588699</v>
      </c>
      <c r="V11" s="6">
        <v>14396586530.248699</v>
      </c>
      <c r="W11" s="6">
        <v>14099558598.1696</v>
      </c>
      <c r="X11" s="6">
        <v>16397963604.829599</v>
      </c>
      <c r="Y11" s="6">
        <v>16298137514.411501</v>
      </c>
      <c r="Z11" s="6">
        <v>18596542521.071499</v>
      </c>
      <c r="AA11" s="10">
        <f t="shared" si="0"/>
        <v>121329355061.054</v>
      </c>
      <c r="AB11" s="11">
        <v>51888005338.330002</v>
      </c>
      <c r="AC11" s="11">
        <f t="shared" si="1"/>
        <v>397801164.13460326</v>
      </c>
      <c r="AD11" s="13">
        <f t="shared" si="2"/>
        <v>170124607.66665575</v>
      </c>
    </row>
    <row r="12" spans="1:30" ht="18" customHeight="1" x14ac:dyDescent="0.35">
      <c r="A12" s="4">
        <v>11</v>
      </c>
      <c r="B12" s="5" t="s">
        <v>36</v>
      </c>
      <c r="C12" s="6">
        <v>2728195738.1170001</v>
      </c>
      <c r="D12" s="6">
        <v>2887502905.6469998</v>
      </c>
      <c r="E12" s="6">
        <v>2457858025.5387001</v>
      </c>
      <c r="F12" s="6">
        <v>2615297213.0574999</v>
      </c>
      <c r="G12" s="6">
        <v>2694865764.7732</v>
      </c>
      <c r="H12" s="6">
        <v>2854569682.5570002</v>
      </c>
      <c r="I12" s="6">
        <v>2423282039.7501001</v>
      </c>
      <c r="J12" s="6">
        <v>2581542344.2642999</v>
      </c>
      <c r="K12" s="6">
        <v>2749461069.8181</v>
      </c>
      <c r="L12" s="6">
        <v>2910502260.3836002</v>
      </c>
      <c r="M12" s="6">
        <v>3891067243.7330999</v>
      </c>
      <c r="N12" s="6">
        <v>4067331023.4194002</v>
      </c>
      <c r="O12" s="6">
        <v>2757593844.0942001</v>
      </c>
      <c r="P12" s="6">
        <v>2921135276.8031998</v>
      </c>
      <c r="Q12" s="6">
        <v>3758333489.2132001</v>
      </c>
      <c r="R12" s="6">
        <v>3931347205.5655999</v>
      </c>
      <c r="S12" s="6">
        <v>3291027131.0981998</v>
      </c>
      <c r="T12" s="6">
        <v>3441776831.0633001</v>
      </c>
      <c r="U12" s="6">
        <v>2981065468.4991002</v>
      </c>
      <c r="V12" s="6">
        <v>3309818368.3485999</v>
      </c>
      <c r="W12" s="6">
        <v>3384580920.7379999</v>
      </c>
      <c r="X12" s="6">
        <v>3719963675.4580002</v>
      </c>
      <c r="Y12" s="6">
        <v>3634337153.5434999</v>
      </c>
      <c r="Z12" s="6">
        <v>3970277956.3580999</v>
      </c>
      <c r="AA12" s="10">
        <f t="shared" si="0"/>
        <v>36751667888.916405</v>
      </c>
      <c r="AB12" s="11">
        <v>5102902366.8199997</v>
      </c>
      <c r="AC12" s="11">
        <f t="shared" si="1"/>
        <v>120497271.76693903</v>
      </c>
      <c r="AD12" s="13">
        <f t="shared" si="2"/>
        <v>16730827.43219672</v>
      </c>
    </row>
    <row r="13" spans="1:30" ht="18" customHeight="1" x14ac:dyDescent="0.35">
      <c r="A13" s="4">
        <v>12</v>
      </c>
      <c r="B13" s="5" t="s">
        <v>37</v>
      </c>
      <c r="C13" s="6">
        <v>2344653817.6160998</v>
      </c>
      <c r="D13" s="6">
        <v>3333085446.3561001</v>
      </c>
      <c r="E13" s="6">
        <v>2036192356.5806</v>
      </c>
      <c r="F13" s="6">
        <v>3035523208.8305998</v>
      </c>
      <c r="G13" s="6">
        <v>2507209395.1223001</v>
      </c>
      <c r="H13" s="6">
        <v>3506540247.3723001</v>
      </c>
      <c r="I13" s="6">
        <v>2046563482.1113</v>
      </c>
      <c r="J13" s="6">
        <v>3045894334.3613</v>
      </c>
      <c r="K13" s="6">
        <v>2371729195.7709999</v>
      </c>
      <c r="L13" s="6">
        <v>3371060049.211</v>
      </c>
      <c r="M13" s="6">
        <v>3658418838.2009001</v>
      </c>
      <c r="N13" s="6">
        <v>4657749691.6408997</v>
      </c>
      <c r="O13" s="6">
        <v>2737982070.6725998</v>
      </c>
      <c r="P13" s="6">
        <v>3726326327.9726</v>
      </c>
      <c r="Q13" s="6">
        <v>4502140377.4721994</v>
      </c>
      <c r="R13" s="6">
        <v>5479585410.0721989</v>
      </c>
      <c r="S13" s="6">
        <v>3958290569.7052999</v>
      </c>
      <c r="T13" s="6">
        <v>4935735602.3052998</v>
      </c>
      <c r="U13" s="6">
        <v>3971197402.0008998</v>
      </c>
      <c r="V13" s="6">
        <v>4948642434.6009007</v>
      </c>
      <c r="W13" s="6">
        <v>4594464070.7207994</v>
      </c>
      <c r="X13" s="6">
        <v>5571909103.3207998</v>
      </c>
      <c r="Y13" s="6">
        <v>5083147046.4219999</v>
      </c>
      <c r="Z13" s="6">
        <v>6060592079.0220003</v>
      </c>
      <c r="AA13" s="10">
        <f t="shared" si="0"/>
        <v>39811988622.395996</v>
      </c>
      <c r="AB13" s="11">
        <v>25342829212.220001</v>
      </c>
      <c r="AC13" s="11">
        <f t="shared" si="1"/>
        <v>130531110.23736392</v>
      </c>
      <c r="AD13" s="13">
        <f t="shared" si="2"/>
        <v>83091243.318754107</v>
      </c>
    </row>
    <row r="14" spans="1:30" ht="18" customHeight="1" x14ac:dyDescent="0.35">
      <c r="A14" s="4">
        <v>13</v>
      </c>
      <c r="B14" s="5" t="s">
        <v>38</v>
      </c>
      <c r="C14" s="6">
        <v>1815402683.2816</v>
      </c>
      <c r="D14" s="6">
        <v>2873141100.8815999</v>
      </c>
      <c r="E14" s="6">
        <v>1606594478.4809</v>
      </c>
      <c r="F14" s="6">
        <v>2623220396.0809002</v>
      </c>
      <c r="G14" s="6">
        <v>1850308354.3826001</v>
      </c>
      <c r="H14" s="6">
        <v>2866934271.9826002</v>
      </c>
      <c r="I14" s="6">
        <v>1547757088.4514999</v>
      </c>
      <c r="J14" s="6">
        <v>2605495506.0514998</v>
      </c>
      <c r="K14" s="6">
        <v>1863153958.4937999</v>
      </c>
      <c r="L14" s="6">
        <v>2879779876.0938001</v>
      </c>
      <c r="M14" s="6">
        <v>3045973143.8582001</v>
      </c>
      <c r="N14" s="6">
        <v>4062599061.4582</v>
      </c>
      <c r="O14" s="6">
        <v>1904985900.6255</v>
      </c>
      <c r="P14" s="6">
        <v>2928003768.1554999</v>
      </c>
      <c r="Q14" s="6">
        <v>2946371402.9380002</v>
      </c>
      <c r="R14" s="6">
        <v>3928276770.4679999</v>
      </c>
      <c r="S14" s="6">
        <v>2456539961.9906001</v>
      </c>
      <c r="T14" s="6">
        <v>3426335179.1005988</v>
      </c>
      <c r="U14" s="6">
        <v>2289214147.2294998</v>
      </c>
      <c r="V14" s="6">
        <v>3300121864.3395</v>
      </c>
      <c r="W14" s="6">
        <v>2758788340.3813</v>
      </c>
      <c r="X14" s="6">
        <v>3728583557.4913001</v>
      </c>
      <c r="Y14" s="6">
        <v>2999795693.7459011</v>
      </c>
      <c r="Z14" s="6">
        <v>3969590910.8558998</v>
      </c>
      <c r="AA14" s="10">
        <f t="shared" si="0"/>
        <v>27084885153.859398</v>
      </c>
      <c r="AB14" s="11">
        <v>4967499815.79</v>
      </c>
      <c r="AC14" s="11">
        <f t="shared" si="1"/>
        <v>88802902.143801302</v>
      </c>
      <c r="AD14" s="13">
        <f t="shared" si="2"/>
        <v>16286884.641934427</v>
      </c>
    </row>
    <row r="15" spans="1:30" ht="18" customHeight="1" x14ac:dyDescent="0.35">
      <c r="A15" s="4">
        <v>14</v>
      </c>
      <c r="B15" s="5" t="s">
        <v>39</v>
      </c>
      <c r="C15" s="6">
        <v>2842001456.8723001</v>
      </c>
      <c r="D15" s="6">
        <v>3255267993.9422998</v>
      </c>
      <c r="E15" s="6">
        <v>2542153030.8376999</v>
      </c>
      <c r="F15" s="6">
        <v>2955419567.9077001</v>
      </c>
      <c r="G15" s="6">
        <v>2889100569.4733</v>
      </c>
      <c r="H15" s="6">
        <v>3302367106.5433002</v>
      </c>
      <c r="I15" s="6">
        <v>2519407294.7719998</v>
      </c>
      <c r="J15" s="6">
        <v>2932673831.842</v>
      </c>
      <c r="K15" s="6">
        <v>2839912244.3582001</v>
      </c>
      <c r="L15" s="6">
        <v>3253178781.4281998</v>
      </c>
      <c r="M15" s="6">
        <v>4181558986.8600998</v>
      </c>
      <c r="N15" s="6">
        <v>4594825523.9300985</v>
      </c>
      <c r="O15" s="6">
        <v>2906690465.0331011</v>
      </c>
      <c r="P15" s="6">
        <v>3306060467.5830998</v>
      </c>
      <c r="Q15" s="6">
        <v>4076011258.4808998</v>
      </c>
      <c r="R15" s="6">
        <v>4475381261.0309</v>
      </c>
      <c r="S15" s="6">
        <v>3448299264.7670989</v>
      </c>
      <c r="T15" s="6">
        <v>3847669267.3171</v>
      </c>
      <c r="U15" s="6">
        <v>3341234535.4626999</v>
      </c>
      <c r="V15" s="6">
        <v>3740604538.0127001</v>
      </c>
      <c r="W15" s="6">
        <v>3771385334.1738</v>
      </c>
      <c r="X15" s="6">
        <v>4170755336.7238002</v>
      </c>
      <c r="Y15" s="6">
        <v>4057106489.2126012</v>
      </c>
      <c r="Z15" s="6">
        <v>4456476491.7625999</v>
      </c>
      <c r="AA15" s="10">
        <f t="shared" si="0"/>
        <v>39414860930.303795</v>
      </c>
      <c r="AB15" s="11">
        <v>22039222902.860001</v>
      </c>
      <c r="AC15" s="11">
        <f t="shared" si="1"/>
        <v>129229052.23050424</v>
      </c>
      <c r="AD15" s="13">
        <f t="shared" si="2"/>
        <v>72259747.222491801</v>
      </c>
    </row>
    <row r="16" spans="1:30" ht="18" customHeight="1" x14ac:dyDescent="0.35">
      <c r="A16" s="4">
        <v>15</v>
      </c>
      <c r="B16" s="5" t="s">
        <v>40</v>
      </c>
      <c r="C16" s="6">
        <v>2366031306.7202001</v>
      </c>
      <c r="D16" s="6">
        <v>3035360602.2002001</v>
      </c>
      <c r="E16" s="6">
        <v>2055828155.1431</v>
      </c>
      <c r="F16" s="6">
        <v>2725157450.6230998</v>
      </c>
      <c r="G16" s="6">
        <v>2303473263.4849</v>
      </c>
      <c r="H16" s="6">
        <v>2972802558.9649</v>
      </c>
      <c r="I16" s="6">
        <v>2015590338.0335</v>
      </c>
      <c r="J16" s="6">
        <v>2684919633.5135002</v>
      </c>
      <c r="K16" s="6">
        <v>2324016480.0495</v>
      </c>
      <c r="L16" s="6">
        <v>2993345775.5295</v>
      </c>
      <c r="M16" s="6">
        <v>3555739555.9196</v>
      </c>
      <c r="N16" s="6">
        <v>4225068851.3996</v>
      </c>
      <c r="O16" s="6">
        <v>2400488877.6244001</v>
      </c>
      <c r="P16" s="6">
        <v>3079585704.8544002</v>
      </c>
      <c r="Q16" s="6">
        <v>3398240469.3652</v>
      </c>
      <c r="R16" s="6">
        <v>4077337296.5952001</v>
      </c>
      <c r="S16" s="6">
        <v>2896648755.1675</v>
      </c>
      <c r="T16" s="6">
        <v>3561588724.0675001</v>
      </c>
      <c r="U16" s="6">
        <v>2783190809.7108998</v>
      </c>
      <c r="V16" s="6">
        <v>3448130778.6108999</v>
      </c>
      <c r="W16" s="6">
        <v>3204154390.454</v>
      </c>
      <c r="X16" s="6">
        <v>3869094359.3540001</v>
      </c>
      <c r="Y16" s="6">
        <v>3462449405.2663012</v>
      </c>
      <c r="Z16" s="6">
        <v>4127389374.1662998</v>
      </c>
      <c r="AA16" s="10">
        <f t="shared" si="0"/>
        <v>32765851806.939098</v>
      </c>
      <c r="AB16" s="11">
        <v>5272273408.2799997</v>
      </c>
      <c r="AC16" s="11">
        <f t="shared" si="1"/>
        <v>107429022.31783311</v>
      </c>
      <c r="AD16" s="13">
        <f t="shared" si="2"/>
        <v>17286142.322229508</v>
      </c>
    </row>
    <row r="17" spans="1:30" ht="18" customHeight="1" x14ac:dyDescent="0.35">
      <c r="A17" s="4">
        <v>16</v>
      </c>
      <c r="B17" s="5" t="s">
        <v>41</v>
      </c>
      <c r="C17" s="6">
        <v>2834023257.2332001</v>
      </c>
      <c r="D17" s="6">
        <v>3712610151.2932</v>
      </c>
      <c r="E17" s="6">
        <v>2710650559.6799002</v>
      </c>
      <c r="F17" s="6">
        <v>3589237453.7399001</v>
      </c>
      <c r="G17" s="6">
        <v>2933259215.2929001</v>
      </c>
      <c r="H17" s="6">
        <v>3811846109.3529</v>
      </c>
      <c r="I17" s="6">
        <v>2542012386.6712999</v>
      </c>
      <c r="J17" s="6">
        <v>3412618516.4713001</v>
      </c>
      <c r="K17" s="6">
        <v>2792677055.5479999</v>
      </c>
      <c r="L17" s="6">
        <v>3663283185.368</v>
      </c>
      <c r="M17" s="6">
        <v>4250090389.165401</v>
      </c>
      <c r="N17" s="6">
        <v>5120696518.9854002</v>
      </c>
      <c r="O17" s="6">
        <v>2902786476.0029998</v>
      </c>
      <c r="P17" s="6">
        <v>3771412593.6430001</v>
      </c>
      <c r="Q17" s="6">
        <v>3964241016.066999</v>
      </c>
      <c r="R17" s="6">
        <v>4832867133.7069998</v>
      </c>
      <c r="S17" s="6">
        <v>3527484021.0839</v>
      </c>
      <c r="T17" s="6">
        <v>4396110138.7238998</v>
      </c>
      <c r="U17" s="6">
        <v>3352045086.3106999</v>
      </c>
      <c r="V17" s="6">
        <v>4220671203.9506998</v>
      </c>
      <c r="W17" s="6">
        <v>3935054297.3080001</v>
      </c>
      <c r="X17" s="6">
        <v>4803680414.948</v>
      </c>
      <c r="Y17" s="6">
        <v>4141688136.7020988</v>
      </c>
      <c r="Z17" s="6">
        <v>5010314254.3420992</v>
      </c>
      <c r="AA17" s="10">
        <f t="shared" si="0"/>
        <v>39886011897.065399</v>
      </c>
      <c r="AB17" s="11">
        <v>6850796866.0699997</v>
      </c>
      <c r="AC17" s="11">
        <f t="shared" si="1"/>
        <v>130773809.49857508</v>
      </c>
      <c r="AD17" s="13">
        <f t="shared" si="2"/>
        <v>22461629.069081966</v>
      </c>
    </row>
    <row r="18" spans="1:30" ht="18" customHeight="1" x14ac:dyDescent="0.35">
      <c r="A18" s="4">
        <v>17</v>
      </c>
      <c r="B18" s="5" t="s">
        <v>42</v>
      </c>
      <c r="C18" s="6">
        <v>3458374245.4927011</v>
      </c>
      <c r="D18" s="6">
        <v>3575901169.322701</v>
      </c>
      <c r="E18" s="6">
        <v>3132224533.5718012</v>
      </c>
      <c r="F18" s="6">
        <v>3249751457.4018011</v>
      </c>
      <c r="G18" s="6">
        <v>3473859196.3727012</v>
      </c>
      <c r="H18" s="6">
        <v>3591386120.2027011</v>
      </c>
      <c r="I18" s="6">
        <v>3125527764.5281</v>
      </c>
      <c r="J18" s="6">
        <v>3243054688.3580999</v>
      </c>
      <c r="K18" s="6">
        <v>3492993574.9036012</v>
      </c>
      <c r="L18" s="6">
        <v>3610520498.7336001</v>
      </c>
      <c r="M18" s="6">
        <v>4947689657.7398005</v>
      </c>
      <c r="N18" s="6">
        <v>5065216581.5698004</v>
      </c>
      <c r="O18" s="6">
        <v>3545912352.2382998</v>
      </c>
      <c r="P18" s="6">
        <v>3661618771.7883</v>
      </c>
      <c r="Q18" s="6">
        <v>4670030134.2011003</v>
      </c>
      <c r="R18" s="6">
        <v>4932238586.4911003</v>
      </c>
      <c r="S18" s="6">
        <v>4009762968.1503</v>
      </c>
      <c r="T18" s="6">
        <v>4271971420.4403</v>
      </c>
      <c r="U18" s="6">
        <v>3868179343.2646999</v>
      </c>
      <c r="V18" s="6">
        <v>4130387795.5546999</v>
      </c>
      <c r="W18" s="6">
        <v>4468112953.4776001</v>
      </c>
      <c r="X18" s="6">
        <v>4657070389.3976002</v>
      </c>
      <c r="Y18" s="6">
        <v>4802730915.7254</v>
      </c>
      <c r="Z18" s="6">
        <v>4991688351.6454</v>
      </c>
      <c r="AA18" s="10">
        <f t="shared" si="0"/>
        <v>46995397639.666107</v>
      </c>
      <c r="AB18" s="11">
        <v>6650200980.1099997</v>
      </c>
      <c r="AC18" s="11">
        <f t="shared" si="1"/>
        <v>154083270.94972494</v>
      </c>
      <c r="AD18" s="13">
        <f t="shared" si="2"/>
        <v>21803937.639704917</v>
      </c>
    </row>
    <row r="19" spans="1:30" ht="18" customHeight="1" x14ac:dyDescent="0.35">
      <c r="A19" s="4">
        <v>18</v>
      </c>
      <c r="B19" s="5" t="s">
        <v>43</v>
      </c>
      <c r="C19" s="6">
        <v>3792791458.6401</v>
      </c>
      <c r="D19" s="6">
        <v>4228162576.8800998</v>
      </c>
      <c r="E19" s="6">
        <v>3385602912.4531002</v>
      </c>
      <c r="F19" s="6">
        <v>3820974030.6931</v>
      </c>
      <c r="G19" s="6">
        <v>3794371819.6657</v>
      </c>
      <c r="H19" s="6">
        <v>4229742937.9057002</v>
      </c>
      <c r="I19" s="6">
        <v>3418093055.8736</v>
      </c>
      <c r="J19" s="6">
        <v>3853464174.1135998</v>
      </c>
      <c r="K19" s="6">
        <v>3880409629.4674001</v>
      </c>
      <c r="L19" s="6">
        <v>4315780747.7073994</v>
      </c>
      <c r="M19" s="6">
        <v>5523778772.9903994</v>
      </c>
      <c r="N19" s="6">
        <v>5959149891.2304001</v>
      </c>
      <c r="O19" s="6">
        <v>3928638893.4405999</v>
      </c>
      <c r="P19" s="6">
        <v>4312468999.5805998</v>
      </c>
      <c r="Q19" s="6">
        <v>5436980596.9329996</v>
      </c>
      <c r="R19" s="6">
        <v>5820810703.073</v>
      </c>
      <c r="S19" s="6">
        <v>4705968745.4703999</v>
      </c>
      <c r="T19" s="6">
        <v>5089798851.6103992</v>
      </c>
      <c r="U19" s="6">
        <v>4478011702.6047001</v>
      </c>
      <c r="V19" s="6">
        <v>4861841808.7446985</v>
      </c>
      <c r="W19" s="6">
        <v>5076068851.4395008</v>
      </c>
      <c r="X19" s="6">
        <v>5459898957.5795002</v>
      </c>
      <c r="Y19" s="6">
        <v>5482650730.6938992</v>
      </c>
      <c r="Z19" s="6">
        <v>5866480836.8339005</v>
      </c>
      <c r="AA19" s="10">
        <f t="shared" si="0"/>
        <v>52903367169.672394</v>
      </c>
      <c r="AB19" s="11">
        <v>26530562880.889999</v>
      </c>
      <c r="AC19" s="11">
        <f t="shared" si="1"/>
        <v>173453662.85138491</v>
      </c>
      <c r="AD19" s="13">
        <f t="shared" si="2"/>
        <v>86985452.068491802</v>
      </c>
    </row>
    <row r="20" spans="1:30" ht="18" customHeight="1" x14ac:dyDescent="0.35">
      <c r="A20" s="4">
        <v>19</v>
      </c>
      <c r="B20" s="5" t="s">
        <v>44</v>
      </c>
      <c r="C20" s="6">
        <v>5025536181.9419003</v>
      </c>
      <c r="D20" s="6">
        <v>5558617038.1218996</v>
      </c>
      <c r="E20" s="6">
        <v>4536280539.0331001</v>
      </c>
      <c r="F20" s="6">
        <v>5059539477.4031</v>
      </c>
      <c r="G20" s="6">
        <v>5021837904.7322006</v>
      </c>
      <c r="H20" s="6">
        <v>5558268075.9822006</v>
      </c>
      <c r="I20" s="6">
        <v>4528561804.4686003</v>
      </c>
      <c r="J20" s="6">
        <v>5059793345.5785999</v>
      </c>
      <c r="K20" s="6">
        <v>4996249244.6681004</v>
      </c>
      <c r="L20" s="6">
        <v>5531405443.3181</v>
      </c>
      <c r="M20" s="6">
        <v>7081323178.8701992</v>
      </c>
      <c r="N20" s="6">
        <v>7611321843.2701998</v>
      </c>
      <c r="O20" s="6">
        <v>5054609379.9912996</v>
      </c>
      <c r="P20" s="6">
        <v>5596992213.4412994</v>
      </c>
      <c r="Q20" s="6">
        <v>6837569461.2778988</v>
      </c>
      <c r="R20" s="6">
        <v>7379315308.4279003</v>
      </c>
      <c r="S20" s="6">
        <v>5971948934.3155994</v>
      </c>
      <c r="T20" s="6">
        <v>6508598891.0556002</v>
      </c>
      <c r="U20" s="6">
        <v>5468389100.2130985</v>
      </c>
      <c r="V20" s="6">
        <v>6008860974.7630997</v>
      </c>
      <c r="W20" s="6">
        <v>6160765710.2112999</v>
      </c>
      <c r="X20" s="6">
        <v>6696182790.2413006</v>
      </c>
      <c r="Y20" s="6">
        <v>6613816267.0477009</v>
      </c>
      <c r="Z20" s="6">
        <v>7153014168.9977007</v>
      </c>
      <c r="AA20" s="10">
        <f t="shared" si="0"/>
        <v>67296887706.770996</v>
      </c>
      <c r="AB20" s="11">
        <v>42418811470.639999</v>
      </c>
      <c r="AC20" s="11">
        <f t="shared" si="1"/>
        <v>220645533.46482295</v>
      </c>
      <c r="AD20" s="13">
        <f t="shared" si="2"/>
        <v>139078070.39554098</v>
      </c>
    </row>
    <row r="21" spans="1:30" ht="18" customHeight="1" x14ac:dyDescent="0.35">
      <c r="A21" s="4">
        <v>20</v>
      </c>
      <c r="B21" s="5" t="s">
        <v>45</v>
      </c>
      <c r="C21" s="6">
        <v>3641738075.6423998</v>
      </c>
      <c r="D21" s="6">
        <v>3983587158.8424001</v>
      </c>
      <c r="E21" s="6">
        <v>3248782075.3225999</v>
      </c>
      <c r="F21" s="6">
        <v>3594074638.4526</v>
      </c>
      <c r="G21" s="6">
        <v>3603848294.2807999</v>
      </c>
      <c r="H21" s="6">
        <v>3947719217.6408</v>
      </c>
      <c r="I21" s="6">
        <v>3244323860.7087002</v>
      </c>
      <c r="J21" s="6">
        <v>3590057845.3586998</v>
      </c>
      <c r="K21" s="6">
        <v>3621654871.1760998</v>
      </c>
      <c r="L21" s="6">
        <v>3964217372.1360998</v>
      </c>
      <c r="M21" s="6">
        <v>5243112597.1562996</v>
      </c>
      <c r="N21" s="6">
        <v>5587515378.6662998</v>
      </c>
      <c r="O21" s="6">
        <v>3690143269.5393</v>
      </c>
      <c r="P21" s="6">
        <v>4024207611.0093002</v>
      </c>
      <c r="Q21" s="6">
        <v>4662990096.5741997</v>
      </c>
      <c r="R21" s="6">
        <v>5399181242.4541998</v>
      </c>
      <c r="S21" s="6">
        <v>4043939027.3909998</v>
      </c>
      <c r="T21" s="6">
        <v>4781936282.7010002</v>
      </c>
      <c r="U21" s="6">
        <v>3810699741.3014998</v>
      </c>
      <c r="V21" s="6">
        <v>4545582464.7814999</v>
      </c>
      <c r="W21" s="6">
        <v>4370941163.3729</v>
      </c>
      <c r="X21" s="6">
        <v>5107607215.5429001</v>
      </c>
      <c r="Y21" s="6">
        <v>4717056616.1977015</v>
      </c>
      <c r="Z21" s="6">
        <v>5453057066.7977009</v>
      </c>
      <c r="AA21" s="10">
        <f t="shared" si="0"/>
        <v>47899229688.663498</v>
      </c>
      <c r="AB21" s="11">
        <v>6029850857.7600002</v>
      </c>
      <c r="AC21" s="11">
        <f t="shared" si="1"/>
        <v>157046654.7169295</v>
      </c>
      <c r="AD21" s="13">
        <f t="shared" si="2"/>
        <v>19770002.812327869</v>
      </c>
    </row>
    <row r="22" spans="1:30" ht="18" customHeight="1" x14ac:dyDescent="0.35">
      <c r="A22" s="4">
        <v>21</v>
      </c>
      <c r="B22" s="5" t="s">
        <v>46</v>
      </c>
      <c r="C22" s="6">
        <v>3031028446.0079999</v>
      </c>
      <c r="D22" s="6">
        <v>3352575270.5679998</v>
      </c>
      <c r="E22" s="6">
        <v>2710408088.3722</v>
      </c>
      <c r="F22" s="6">
        <v>3031954912.9322</v>
      </c>
      <c r="G22" s="6">
        <v>2987693519.9138999</v>
      </c>
      <c r="H22" s="6">
        <v>3309240344.4738998</v>
      </c>
      <c r="I22" s="6">
        <v>2683660882.4512</v>
      </c>
      <c r="J22" s="6">
        <v>3005207707.0112</v>
      </c>
      <c r="K22" s="6">
        <v>3014226637.7519999</v>
      </c>
      <c r="L22" s="6">
        <v>3335773462.3119998</v>
      </c>
      <c r="M22" s="6">
        <v>4400944529.5629005</v>
      </c>
      <c r="N22" s="6">
        <v>4722491354.1229</v>
      </c>
      <c r="O22" s="6">
        <v>3110977673.8263998</v>
      </c>
      <c r="P22" s="6">
        <v>3411560091.6464</v>
      </c>
      <c r="Q22" s="6">
        <v>4261607377.3873</v>
      </c>
      <c r="R22" s="6">
        <v>4562189795.2073002</v>
      </c>
      <c r="S22" s="6">
        <v>3679861274.4798002</v>
      </c>
      <c r="T22" s="6">
        <v>3980443692.2997999</v>
      </c>
      <c r="U22" s="6">
        <v>3522800781.2333999</v>
      </c>
      <c r="V22" s="6">
        <v>3823383199.0534</v>
      </c>
      <c r="W22" s="6">
        <v>4043751047.8383999</v>
      </c>
      <c r="X22" s="6">
        <v>4344333465.6583996</v>
      </c>
      <c r="Y22" s="6">
        <v>4312706813.9174995</v>
      </c>
      <c r="Z22" s="6">
        <v>4613289231.7375002</v>
      </c>
      <c r="AA22" s="10">
        <f t="shared" si="0"/>
        <v>41759667072.742996</v>
      </c>
      <c r="AB22" s="11">
        <v>4393773965.3900003</v>
      </c>
      <c r="AC22" s="11">
        <f t="shared" si="1"/>
        <v>136916941.22210819</v>
      </c>
      <c r="AD22" s="13">
        <f t="shared" si="2"/>
        <v>14405816.279967215</v>
      </c>
    </row>
    <row r="23" spans="1:30" ht="18" customHeight="1" x14ac:dyDescent="0.35">
      <c r="A23" s="4">
        <v>22</v>
      </c>
      <c r="B23" s="5" t="s">
        <v>47</v>
      </c>
      <c r="C23" s="6">
        <v>3020357494.3824</v>
      </c>
      <c r="D23" s="6">
        <v>3482754406.4823999</v>
      </c>
      <c r="E23" s="6">
        <v>2679253920.7442999</v>
      </c>
      <c r="F23" s="6">
        <v>3141650832.8442998</v>
      </c>
      <c r="G23" s="6">
        <v>2978310931.8593998</v>
      </c>
      <c r="H23" s="6">
        <v>3440707843.9594002</v>
      </c>
      <c r="I23" s="6">
        <v>2638007564.1715999</v>
      </c>
      <c r="J23" s="6">
        <v>3100404476.2715998</v>
      </c>
      <c r="K23" s="6">
        <v>3017725962.6282001</v>
      </c>
      <c r="L23" s="6">
        <v>3480122874.7282</v>
      </c>
      <c r="M23" s="6">
        <v>4442255843.8608999</v>
      </c>
      <c r="N23" s="6">
        <v>4904652755.9609003</v>
      </c>
      <c r="O23" s="6">
        <v>3050175863.1682</v>
      </c>
      <c r="P23" s="6">
        <v>3537484007.4382</v>
      </c>
      <c r="Q23" s="6">
        <v>4247940959.3866</v>
      </c>
      <c r="R23" s="6">
        <v>4761779653.7566004</v>
      </c>
      <c r="S23" s="6">
        <v>3621816484.4833999</v>
      </c>
      <c r="T23" s="6">
        <v>4135655178.8534002</v>
      </c>
      <c r="U23" s="6">
        <v>3475518849.8417001</v>
      </c>
      <c r="V23" s="6">
        <v>3962826994.1117001</v>
      </c>
      <c r="W23" s="6">
        <v>3894231913.0268002</v>
      </c>
      <c r="X23" s="6">
        <v>4493125057.1068001</v>
      </c>
      <c r="Y23" s="6">
        <v>4210420206.1877999</v>
      </c>
      <c r="Z23" s="6">
        <v>4809313350.2678003</v>
      </c>
      <c r="AA23" s="10">
        <f t="shared" si="0"/>
        <v>41276015993.741302</v>
      </c>
      <c r="AB23" s="11">
        <v>11244260974.75</v>
      </c>
      <c r="AC23" s="11">
        <f t="shared" si="1"/>
        <v>135331199.97947967</v>
      </c>
      <c r="AD23" s="13">
        <f t="shared" si="2"/>
        <v>36866429.425409839</v>
      </c>
    </row>
    <row r="24" spans="1:30" ht="18" customHeight="1" x14ac:dyDescent="0.35">
      <c r="A24" s="4">
        <v>23</v>
      </c>
      <c r="B24" s="5" t="s">
        <v>48</v>
      </c>
      <c r="C24" s="6">
        <v>2510848023.6262999</v>
      </c>
      <c r="D24" s="6">
        <v>2883763199.8362999</v>
      </c>
      <c r="E24" s="6">
        <v>2232502869.3388</v>
      </c>
      <c r="F24" s="6">
        <v>2605418045.5488</v>
      </c>
      <c r="G24" s="6">
        <v>2488087776.6124001</v>
      </c>
      <c r="H24" s="6">
        <v>2868502952.8224001</v>
      </c>
      <c r="I24" s="6">
        <v>2228644734.0209999</v>
      </c>
      <c r="J24" s="6">
        <v>2609059910.2309999</v>
      </c>
      <c r="K24" s="6">
        <v>2484424334.4274998</v>
      </c>
      <c r="L24" s="6">
        <v>2864839510.6374998</v>
      </c>
      <c r="M24" s="6">
        <v>3669988265.8862</v>
      </c>
      <c r="N24" s="6">
        <v>4050403442.0962</v>
      </c>
      <c r="O24" s="6">
        <v>2539578771.6724</v>
      </c>
      <c r="P24" s="6">
        <v>2922354518.2224002</v>
      </c>
      <c r="Q24" s="6">
        <v>3533295946.5785999</v>
      </c>
      <c r="R24" s="6">
        <v>3916071693.1286001</v>
      </c>
      <c r="S24" s="6">
        <v>3036694965.115499</v>
      </c>
      <c r="T24" s="6">
        <v>3419470711.6655002</v>
      </c>
      <c r="U24" s="6">
        <v>2906079253.9303002</v>
      </c>
      <c r="V24" s="6">
        <v>3288855000.4802999</v>
      </c>
      <c r="W24" s="6">
        <v>3316266827.7063999</v>
      </c>
      <c r="X24" s="6">
        <v>3699042574.2564001</v>
      </c>
      <c r="Y24" s="6">
        <v>3577723205.4663</v>
      </c>
      <c r="Z24" s="6">
        <v>3960498952.0163002</v>
      </c>
      <c r="AA24" s="10">
        <f t="shared" si="0"/>
        <v>34524134974.381699</v>
      </c>
      <c r="AB24" s="11">
        <v>19637873512.220001</v>
      </c>
      <c r="AC24" s="11">
        <f t="shared" si="1"/>
        <v>113193885.16190721</v>
      </c>
      <c r="AD24" s="13">
        <f t="shared" si="2"/>
        <v>64386470.53186886</v>
      </c>
    </row>
    <row r="25" spans="1:30" ht="18" customHeight="1" x14ac:dyDescent="0.35">
      <c r="A25" s="4">
        <v>24</v>
      </c>
      <c r="B25" s="5" t="s">
        <v>49</v>
      </c>
      <c r="C25" s="6">
        <v>6694322673.6463003</v>
      </c>
      <c r="D25" s="6">
        <v>9526341758.5063</v>
      </c>
      <c r="E25" s="6">
        <v>5989984411.4981003</v>
      </c>
      <c r="F25" s="6">
        <v>8760853999.8780994</v>
      </c>
      <c r="G25" s="6">
        <v>6742814580.3399</v>
      </c>
      <c r="H25" s="6">
        <v>9544258916.9498997</v>
      </c>
      <c r="I25" s="6">
        <v>7069166604.7778006</v>
      </c>
      <c r="J25" s="6">
        <v>9870610941.3878002</v>
      </c>
      <c r="K25" s="6">
        <v>6763777470.2599001</v>
      </c>
      <c r="L25" s="6">
        <v>9565221806.8698997</v>
      </c>
      <c r="M25" s="6">
        <v>8518557362.8923988</v>
      </c>
      <c r="N25" s="6">
        <v>11320001699.502399</v>
      </c>
      <c r="O25" s="6">
        <v>6721124056.6753998</v>
      </c>
      <c r="P25" s="6">
        <v>9523877217.3153992</v>
      </c>
      <c r="Q25" s="6">
        <v>8772817898.2264996</v>
      </c>
      <c r="R25" s="6">
        <v>11575571058.866501</v>
      </c>
      <c r="S25" s="6">
        <v>7683983752.2679005</v>
      </c>
      <c r="T25" s="6">
        <v>10486736912.9079</v>
      </c>
      <c r="U25" s="6">
        <v>9124292686.3523998</v>
      </c>
      <c r="V25" s="6">
        <v>11927045846.992399</v>
      </c>
      <c r="W25" s="6">
        <v>9266781235.3963013</v>
      </c>
      <c r="X25" s="6">
        <v>12069534396.036301</v>
      </c>
      <c r="Y25" s="6">
        <v>9747262005.3889999</v>
      </c>
      <c r="Z25" s="6">
        <v>12550015166.028999</v>
      </c>
      <c r="AA25" s="10">
        <f t="shared" si="0"/>
        <v>93094884737.721893</v>
      </c>
      <c r="AB25" s="11">
        <v>333967978880.44</v>
      </c>
      <c r="AC25" s="11">
        <f t="shared" si="1"/>
        <v>305229130.28761274</v>
      </c>
      <c r="AD25" s="13">
        <f t="shared" si="2"/>
        <v>1094976979.935869</v>
      </c>
    </row>
    <row r="26" spans="1:30" ht="18" customHeight="1" x14ac:dyDescent="0.35">
      <c r="A26" s="4">
        <v>25</v>
      </c>
      <c r="B26" s="5" t="s">
        <v>50</v>
      </c>
      <c r="C26" s="6">
        <v>2674963353.844501</v>
      </c>
      <c r="D26" s="6">
        <v>2926655049.9345002</v>
      </c>
      <c r="E26" s="6">
        <v>2410933983.4906998</v>
      </c>
      <c r="F26" s="6">
        <v>2662625679.5806999</v>
      </c>
      <c r="G26" s="6">
        <v>2649248728.0583</v>
      </c>
      <c r="H26" s="6">
        <v>2900940424.1483002</v>
      </c>
      <c r="I26" s="6">
        <v>2361728947.4046998</v>
      </c>
      <c r="J26" s="6">
        <v>2613420643.4947</v>
      </c>
      <c r="K26" s="6">
        <v>2639778895.4161</v>
      </c>
      <c r="L26" s="6">
        <v>2891470591.5061002</v>
      </c>
      <c r="M26" s="6">
        <v>3878765718.0180998</v>
      </c>
      <c r="N26" s="6">
        <v>4130457414.1080999</v>
      </c>
      <c r="O26" s="6">
        <v>2683981081.9052</v>
      </c>
      <c r="P26" s="6">
        <v>2936884889.4851999</v>
      </c>
      <c r="Q26" s="6">
        <v>3744160217.3023</v>
      </c>
      <c r="R26" s="6">
        <v>3997064024.8822999</v>
      </c>
      <c r="S26" s="6">
        <v>3211597394.4161</v>
      </c>
      <c r="T26" s="6">
        <v>3464501201.9960999</v>
      </c>
      <c r="U26" s="6">
        <v>3098318655.2659001</v>
      </c>
      <c r="V26" s="6">
        <v>3351222462.8459001</v>
      </c>
      <c r="W26" s="6">
        <v>3521291109.3562999</v>
      </c>
      <c r="X26" s="6">
        <v>3774194916.9362998</v>
      </c>
      <c r="Y26" s="6">
        <v>3789656302.7512999</v>
      </c>
      <c r="Z26" s="6">
        <v>4042560110.3312998</v>
      </c>
      <c r="AA26" s="10">
        <f t="shared" si="0"/>
        <v>36664424387.2295</v>
      </c>
      <c r="AB26" s="11">
        <v>6174136952.5900002</v>
      </c>
      <c r="AC26" s="11">
        <f t="shared" si="1"/>
        <v>120211227.49911311</v>
      </c>
      <c r="AD26" s="13">
        <f t="shared" si="2"/>
        <v>20243071.97570492</v>
      </c>
    </row>
    <row r="27" spans="1:30" ht="18" customHeight="1" x14ac:dyDescent="0.35">
      <c r="A27" s="4">
        <v>26</v>
      </c>
      <c r="B27" s="5" t="s">
        <v>51</v>
      </c>
      <c r="C27" s="6">
        <v>3249767927.0191002</v>
      </c>
      <c r="D27" s="6">
        <v>3720906484.3291011</v>
      </c>
      <c r="E27" s="6">
        <v>2873280420.1613998</v>
      </c>
      <c r="F27" s="6">
        <v>3365517779.4614</v>
      </c>
      <c r="G27" s="6">
        <v>3189658810.1301999</v>
      </c>
      <c r="H27" s="6">
        <v>3688467673.2301998</v>
      </c>
      <c r="I27" s="6">
        <v>2833778870.9988999</v>
      </c>
      <c r="J27" s="6">
        <v>3329809922.5289001</v>
      </c>
      <c r="K27" s="6">
        <v>3208351134.9208002</v>
      </c>
      <c r="L27" s="6">
        <v>3706248211.0907998</v>
      </c>
      <c r="M27" s="6">
        <v>4772807515.9229012</v>
      </c>
      <c r="N27" s="6">
        <v>5267947328.7629004</v>
      </c>
      <c r="O27" s="6">
        <v>3294066139.8944988</v>
      </c>
      <c r="P27" s="6">
        <v>3783889316.5145001</v>
      </c>
      <c r="Q27" s="6">
        <v>4610686027.9440994</v>
      </c>
      <c r="R27" s="6">
        <v>5100053311.1041002</v>
      </c>
      <c r="S27" s="6">
        <v>3715364496.0226989</v>
      </c>
      <c r="T27" s="6">
        <v>4430429049.1827002</v>
      </c>
      <c r="U27" s="6">
        <v>3637940119.3986001</v>
      </c>
      <c r="V27" s="6">
        <v>4240607471.3285999</v>
      </c>
      <c r="W27" s="6">
        <v>4215915732.0272002</v>
      </c>
      <c r="X27" s="6">
        <v>4815877190.4972</v>
      </c>
      <c r="Y27" s="6">
        <v>4577791823.2495003</v>
      </c>
      <c r="Z27" s="6">
        <v>5179547388.2595015</v>
      </c>
      <c r="AA27" s="10">
        <f t="shared" si="0"/>
        <v>44179409017.689896</v>
      </c>
      <c r="AB27" s="11">
        <v>6517939033.0699997</v>
      </c>
      <c r="AC27" s="11">
        <f t="shared" si="1"/>
        <v>144850521.36947507</v>
      </c>
      <c r="AD27" s="13">
        <f t="shared" si="2"/>
        <v>21370291.911704917</v>
      </c>
    </row>
    <row r="28" spans="1:30" ht="18" customHeight="1" x14ac:dyDescent="0.35">
      <c r="A28" s="4">
        <v>27</v>
      </c>
      <c r="B28" s="5" t="s">
        <v>52</v>
      </c>
      <c r="C28" s="6">
        <v>1866125227.8197999</v>
      </c>
      <c r="D28" s="6">
        <v>3079511778.0697999</v>
      </c>
      <c r="E28" s="6">
        <v>1588203685.1459999</v>
      </c>
      <c r="F28" s="6">
        <v>2801590235.3959999</v>
      </c>
      <c r="G28" s="6">
        <v>1878943973.3857999</v>
      </c>
      <c r="H28" s="6">
        <v>3092330523.6357999</v>
      </c>
      <c r="I28" s="6">
        <v>1631566796.9723001</v>
      </c>
      <c r="J28" s="6">
        <v>2844953347.2223001</v>
      </c>
      <c r="K28" s="6">
        <v>1905553536.1324</v>
      </c>
      <c r="L28" s="6">
        <v>3118940086.3824</v>
      </c>
      <c r="M28" s="6">
        <v>3122679558.8200002</v>
      </c>
      <c r="N28" s="6">
        <v>4336066109.0699997</v>
      </c>
      <c r="O28" s="6">
        <v>2000486464.9542</v>
      </c>
      <c r="P28" s="6">
        <v>3206568571.7442002</v>
      </c>
      <c r="Q28" s="6">
        <v>3040046942.6764998</v>
      </c>
      <c r="R28" s="6">
        <v>4246129049.4664998</v>
      </c>
      <c r="S28" s="6">
        <v>2488007114.9478998</v>
      </c>
      <c r="T28" s="6">
        <v>3694089221.7378998</v>
      </c>
      <c r="U28" s="6">
        <v>2343439735.7034001</v>
      </c>
      <c r="V28" s="6">
        <v>3549521842.4934001</v>
      </c>
      <c r="W28" s="6">
        <v>2792498420.6911998</v>
      </c>
      <c r="X28" s="6">
        <v>3998580527.4812002</v>
      </c>
      <c r="Y28" s="6">
        <v>3068969523.2494001</v>
      </c>
      <c r="Z28" s="6">
        <v>4275051630.0394001</v>
      </c>
      <c r="AA28" s="10">
        <f t="shared" si="0"/>
        <v>27726520980.498901</v>
      </c>
      <c r="AB28" s="11">
        <v>74835979000.509995</v>
      </c>
      <c r="AC28" s="11">
        <f t="shared" si="1"/>
        <v>90906626.16557017</v>
      </c>
      <c r="AD28" s="13">
        <f t="shared" si="2"/>
        <v>245363865.57544261</v>
      </c>
    </row>
    <row r="29" spans="1:30" ht="18" customHeight="1" x14ac:dyDescent="0.35">
      <c r="A29" s="4">
        <v>28</v>
      </c>
      <c r="B29" s="5" t="s">
        <v>53</v>
      </c>
      <c r="C29" s="6">
        <v>3810766948.1759</v>
      </c>
      <c r="D29" s="6">
        <v>4854947577.4159002</v>
      </c>
      <c r="E29" s="6">
        <v>3267397196.7122002</v>
      </c>
      <c r="F29" s="6">
        <v>4380386687.7622004</v>
      </c>
      <c r="G29" s="6">
        <v>3691415260.2191</v>
      </c>
      <c r="H29" s="6">
        <v>4804404751.2691002</v>
      </c>
      <c r="I29" s="6">
        <v>3312236400.901999</v>
      </c>
      <c r="J29" s="6">
        <v>4389841430.4820004</v>
      </c>
      <c r="K29" s="6">
        <v>3480425611.4351988</v>
      </c>
      <c r="L29" s="6">
        <v>4558030641.0151997</v>
      </c>
      <c r="M29" s="6">
        <v>4671491223.6276989</v>
      </c>
      <c r="N29" s="6">
        <v>5749096253.2076998</v>
      </c>
      <c r="O29" s="6">
        <v>3496773612.3476</v>
      </c>
      <c r="P29" s="6">
        <v>4578570392.4376001</v>
      </c>
      <c r="Q29" s="6">
        <v>4646226260.7313995</v>
      </c>
      <c r="R29" s="6">
        <v>5659214179.0114002</v>
      </c>
      <c r="S29" s="6">
        <v>4017485862.4116001</v>
      </c>
      <c r="T29" s="6">
        <v>5030473780.6915998</v>
      </c>
      <c r="U29" s="6">
        <v>3940444868.7864008</v>
      </c>
      <c r="V29" s="6">
        <v>4953432787.0664005</v>
      </c>
      <c r="W29" s="6">
        <v>4413072039.3965006</v>
      </c>
      <c r="X29" s="6">
        <v>5426059957.6765003</v>
      </c>
      <c r="Y29" s="6">
        <v>4843608811.0562992</v>
      </c>
      <c r="Z29" s="6">
        <v>5856596729.3362999</v>
      </c>
      <c r="AA29" s="10">
        <f t="shared" si="0"/>
        <v>47591344095.801895</v>
      </c>
      <c r="AB29" s="11">
        <v>10927871479.76</v>
      </c>
      <c r="AC29" s="11">
        <f t="shared" si="1"/>
        <v>156037193.75672752</v>
      </c>
      <c r="AD29" s="13">
        <f t="shared" si="2"/>
        <v>35829086.818885244</v>
      </c>
    </row>
    <row r="30" spans="1:30" ht="18" customHeight="1" x14ac:dyDescent="0.35">
      <c r="A30" s="4">
        <v>29</v>
      </c>
      <c r="B30" s="5" t="s">
        <v>54</v>
      </c>
      <c r="C30" s="6">
        <v>601148702.33460021</v>
      </c>
      <c r="D30" s="6">
        <v>3022954494.3246002</v>
      </c>
      <c r="E30" s="6">
        <v>353113360.71060002</v>
      </c>
      <c r="F30" s="6">
        <v>2736361044.4106002</v>
      </c>
      <c r="G30" s="6">
        <v>561908079.27799988</v>
      </c>
      <c r="H30" s="6">
        <v>2983713871.2680001</v>
      </c>
      <c r="I30" s="6">
        <v>308245327.81820011</v>
      </c>
      <c r="J30" s="6">
        <v>2730051119.8081999</v>
      </c>
      <c r="K30" s="6">
        <v>579114384.11290002</v>
      </c>
      <c r="L30" s="6">
        <v>3000920176.1029</v>
      </c>
      <c r="M30" s="6">
        <v>1786539992.1252999</v>
      </c>
      <c r="N30" s="6">
        <v>4208345784.1153002</v>
      </c>
      <c r="O30" s="6">
        <v>650616016.9459002</v>
      </c>
      <c r="P30" s="6">
        <v>3066792469.1959</v>
      </c>
      <c r="Q30" s="6">
        <v>1674709216.4168999</v>
      </c>
      <c r="R30" s="6">
        <v>4090885668.6669002</v>
      </c>
      <c r="S30" s="6">
        <v>1170227640.734</v>
      </c>
      <c r="T30" s="6">
        <v>3586404092.9840002</v>
      </c>
      <c r="U30" s="6">
        <v>1040295320.6013</v>
      </c>
      <c r="V30" s="6">
        <v>3456471772.8512998</v>
      </c>
      <c r="W30" s="6">
        <v>1470474014.3780999</v>
      </c>
      <c r="X30" s="6">
        <v>3886650466.6280999</v>
      </c>
      <c r="Y30" s="6">
        <v>1701823709.460701</v>
      </c>
      <c r="Z30" s="6">
        <v>4118000161.7107</v>
      </c>
      <c r="AA30" s="10">
        <f t="shared" si="0"/>
        <v>11898215764.9165</v>
      </c>
      <c r="AB30" s="11">
        <v>11731026444.379999</v>
      </c>
      <c r="AC30" s="11">
        <f t="shared" si="1"/>
        <v>39010543.491529509</v>
      </c>
      <c r="AD30" s="13">
        <f t="shared" si="2"/>
        <v>38462381.784852453</v>
      </c>
    </row>
    <row r="31" spans="1:30" ht="18" customHeight="1" x14ac:dyDescent="0.35">
      <c r="A31" s="4">
        <v>30</v>
      </c>
      <c r="B31" s="5" t="s">
        <v>55</v>
      </c>
      <c r="C31" s="6">
        <v>3208035690.3771</v>
      </c>
      <c r="D31" s="6">
        <v>3888400460.4871001</v>
      </c>
      <c r="E31" s="6">
        <v>2868992694.7539001</v>
      </c>
      <c r="F31" s="6">
        <v>3518713783.4738998</v>
      </c>
      <c r="G31" s="6">
        <v>3280065397.6032</v>
      </c>
      <c r="H31" s="6">
        <v>3931651226.5932002</v>
      </c>
      <c r="I31" s="6">
        <v>3127985754.4278998</v>
      </c>
      <c r="J31" s="6">
        <v>3779571582.8779001</v>
      </c>
      <c r="K31" s="6">
        <v>3478252168.5679998</v>
      </c>
      <c r="L31" s="6">
        <v>4129837997.5580001</v>
      </c>
      <c r="M31" s="6">
        <v>4967992669.4055996</v>
      </c>
      <c r="N31" s="6">
        <v>5619578498.3955994</v>
      </c>
      <c r="O31" s="6">
        <v>3580449189.9173989</v>
      </c>
      <c r="P31" s="6">
        <v>4195322670.6473999</v>
      </c>
      <c r="Q31" s="6">
        <v>4816630616.2884998</v>
      </c>
      <c r="R31" s="6">
        <v>5431504097.0184994</v>
      </c>
      <c r="S31" s="6">
        <v>4220263976.8167</v>
      </c>
      <c r="T31" s="6">
        <v>4835137457.5466995</v>
      </c>
      <c r="U31" s="6">
        <v>3791720892.4994998</v>
      </c>
      <c r="V31" s="6">
        <v>4406594373.2294998</v>
      </c>
      <c r="W31" s="6">
        <v>4309892246.0450993</v>
      </c>
      <c r="X31" s="6">
        <v>4924765726.7750998</v>
      </c>
      <c r="Y31" s="6">
        <v>4651111501.0646992</v>
      </c>
      <c r="Z31" s="6">
        <v>5265984981.7946997</v>
      </c>
      <c r="AA31" s="10">
        <f t="shared" si="0"/>
        <v>46301392797.767593</v>
      </c>
      <c r="AB31" s="11">
        <v>22448338824.610001</v>
      </c>
      <c r="AC31" s="11">
        <f t="shared" si="1"/>
        <v>151807845.23858228</v>
      </c>
      <c r="AD31" s="13">
        <f t="shared" si="2"/>
        <v>73601110.900360659</v>
      </c>
    </row>
    <row r="32" spans="1:30" ht="18" customHeight="1" x14ac:dyDescent="0.35">
      <c r="A32" s="4">
        <v>31</v>
      </c>
      <c r="B32" s="5" t="s">
        <v>56</v>
      </c>
      <c r="C32" s="6">
        <v>2161458404.5974998</v>
      </c>
      <c r="D32" s="6">
        <v>3329063294.6774998</v>
      </c>
      <c r="E32" s="6">
        <v>1859327335.3341</v>
      </c>
      <c r="F32" s="6">
        <v>3009103952.6341</v>
      </c>
      <c r="G32" s="6">
        <v>2161267313.6946001</v>
      </c>
      <c r="H32" s="6">
        <v>3311043930.9945998</v>
      </c>
      <c r="I32" s="6">
        <v>1820423296.3433001</v>
      </c>
      <c r="J32" s="6">
        <v>2970199913.6433001</v>
      </c>
      <c r="K32" s="6">
        <v>2155390179.0890002</v>
      </c>
      <c r="L32" s="6">
        <v>3305166796.3889999</v>
      </c>
      <c r="M32" s="6">
        <v>3544867300.9443002</v>
      </c>
      <c r="N32" s="6">
        <v>4694643918.2442999</v>
      </c>
      <c r="O32" s="6">
        <v>2205228122.9902</v>
      </c>
      <c r="P32" s="6">
        <v>3353280745.0001998</v>
      </c>
      <c r="Q32" s="6">
        <v>3382366399.3429999</v>
      </c>
      <c r="R32" s="6">
        <v>4530419021.3529997</v>
      </c>
      <c r="S32" s="6">
        <v>2813269854.4661002</v>
      </c>
      <c r="T32" s="6">
        <v>3961322476.4761</v>
      </c>
      <c r="U32" s="6">
        <v>2674443163.2824998</v>
      </c>
      <c r="V32" s="6">
        <v>3822495785.2925</v>
      </c>
      <c r="W32" s="6">
        <v>3157238018.4853001</v>
      </c>
      <c r="X32" s="6">
        <v>4304941330.7952995</v>
      </c>
      <c r="Y32" s="6">
        <v>3451140759.4082999</v>
      </c>
      <c r="Z32" s="6">
        <v>4599123519.4783001</v>
      </c>
      <c r="AA32" s="10">
        <f t="shared" si="0"/>
        <v>31386420147.978199</v>
      </c>
      <c r="AB32" s="11">
        <v>10788283409.450001</v>
      </c>
      <c r="AC32" s="11">
        <f t="shared" si="1"/>
        <v>102906295.56714164</v>
      </c>
      <c r="AD32" s="13">
        <f t="shared" si="2"/>
        <v>35371421.014590167</v>
      </c>
    </row>
    <row r="33" spans="1:30" ht="18" customHeight="1" x14ac:dyDescent="0.35">
      <c r="A33" s="4">
        <v>32</v>
      </c>
      <c r="B33" s="5" t="s">
        <v>57</v>
      </c>
      <c r="C33" s="6">
        <v>9612423094.5670013</v>
      </c>
      <c r="D33" s="6">
        <v>11454605428.627001</v>
      </c>
      <c r="E33" s="6">
        <v>9298716756.5179005</v>
      </c>
      <c r="F33" s="6">
        <v>11201788217.0779</v>
      </c>
      <c r="G33" s="6">
        <v>9451337564.3230991</v>
      </c>
      <c r="H33" s="6">
        <v>11354409024.883101</v>
      </c>
      <c r="I33" s="6">
        <v>8639693705.9414997</v>
      </c>
      <c r="J33" s="6">
        <v>10074519465.681499</v>
      </c>
      <c r="K33" s="6">
        <v>8580022458.7275991</v>
      </c>
      <c r="L33" s="6">
        <v>10014848218.4676</v>
      </c>
      <c r="M33" s="6">
        <v>10611019897.8318</v>
      </c>
      <c r="N33" s="6">
        <v>12045845657.5718</v>
      </c>
      <c r="O33" s="6">
        <v>9754785762.3827019</v>
      </c>
      <c r="P33" s="6">
        <v>11221917444.6327</v>
      </c>
      <c r="Q33" s="6">
        <v>12458897617.5511</v>
      </c>
      <c r="R33" s="6">
        <v>13775167577.7111</v>
      </c>
      <c r="S33" s="6">
        <v>11242523489.1779</v>
      </c>
      <c r="T33" s="6">
        <v>12558793449.3379</v>
      </c>
      <c r="U33" s="6">
        <v>10711878349.3708</v>
      </c>
      <c r="V33" s="6">
        <v>12028148309.5308</v>
      </c>
      <c r="W33" s="6">
        <v>11354564915.8927</v>
      </c>
      <c r="X33" s="6">
        <v>12670834876.0527</v>
      </c>
      <c r="Y33" s="6">
        <v>13711505344.4041</v>
      </c>
      <c r="Z33" s="6">
        <v>15027775304.5641</v>
      </c>
      <c r="AA33" s="10">
        <f t="shared" si="0"/>
        <v>125427368956.6882</v>
      </c>
      <c r="AB33" s="11">
        <v>89484983409.100006</v>
      </c>
      <c r="AC33" s="11">
        <f t="shared" si="1"/>
        <v>411237275.26783019</v>
      </c>
      <c r="AD33" s="13">
        <f t="shared" si="2"/>
        <v>293393388.22655737</v>
      </c>
    </row>
    <row r="34" spans="1:30" ht="18" customHeight="1" x14ac:dyDescent="0.35">
      <c r="A34" s="4">
        <v>33</v>
      </c>
      <c r="B34" s="5" t="s">
        <v>58</v>
      </c>
      <c r="C34" s="6">
        <v>3275113541.4512</v>
      </c>
      <c r="D34" s="6">
        <v>3491328788.5412002</v>
      </c>
      <c r="E34" s="6">
        <v>2957570918.6882</v>
      </c>
      <c r="F34" s="6">
        <v>3173786165.7782001</v>
      </c>
      <c r="G34" s="6">
        <v>3245142740.6271</v>
      </c>
      <c r="H34" s="6">
        <v>3461357987.7171001</v>
      </c>
      <c r="I34" s="6">
        <v>2916725762.7940001</v>
      </c>
      <c r="J34" s="6">
        <v>3132941009.8839998</v>
      </c>
      <c r="K34" s="6">
        <v>3163826067.7192998</v>
      </c>
      <c r="L34" s="6">
        <v>3475440512.7893</v>
      </c>
      <c r="M34" s="6">
        <v>4628172512.5362997</v>
      </c>
      <c r="N34" s="6">
        <v>4939786957.6063004</v>
      </c>
      <c r="O34" s="6">
        <v>3224532312.5303001</v>
      </c>
      <c r="P34" s="6">
        <v>3534382750.3003001</v>
      </c>
      <c r="Q34" s="6">
        <v>4155213260.4259</v>
      </c>
      <c r="R34" s="6">
        <v>4762398719.2159004</v>
      </c>
      <c r="S34" s="6">
        <v>3546189992.0833998</v>
      </c>
      <c r="T34" s="6">
        <v>4153375450.8734002</v>
      </c>
      <c r="U34" s="6">
        <v>3375459353.0489001</v>
      </c>
      <c r="V34" s="6">
        <v>3982644811.8389001</v>
      </c>
      <c r="W34" s="6">
        <v>3912078454.9875998</v>
      </c>
      <c r="X34" s="6">
        <v>4519263913.7776003</v>
      </c>
      <c r="Y34" s="6">
        <v>4211372690.5370002</v>
      </c>
      <c r="Z34" s="6">
        <v>4818558149.3269997</v>
      </c>
      <c r="AA34" s="10">
        <f t="shared" si="0"/>
        <v>42611397607.429207</v>
      </c>
      <c r="AB34" s="11">
        <v>9018844307.2900009</v>
      </c>
      <c r="AC34" s="11">
        <f t="shared" si="1"/>
        <v>139709500.35222691</v>
      </c>
      <c r="AD34" s="13">
        <f t="shared" si="2"/>
        <v>29569981.335377052</v>
      </c>
    </row>
    <row r="35" spans="1:30" ht="18" customHeight="1" x14ac:dyDescent="0.35">
      <c r="A35" s="4">
        <v>34</v>
      </c>
      <c r="B35" s="5" t="s">
        <v>59</v>
      </c>
      <c r="C35" s="6">
        <v>2525965659.0686998</v>
      </c>
      <c r="D35" s="6">
        <v>3062229001.2186999</v>
      </c>
      <c r="E35" s="6">
        <v>2231468949.3371</v>
      </c>
      <c r="F35" s="6">
        <v>2767732291.4871001</v>
      </c>
      <c r="G35" s="6">
        <v>2486845960.4590011</v>
      </c>
      <c r="H35" s="6">
        <v>3023109302.6090002</v>
      </c>
      <c r="I35" s="6">
        <v>2214872268.2723999</v>
      </c>
      <c r="J35" s="6">
        <v>2751135610.4224</v>
      </c>
      <c r="K35" s="6">
        <v>2504470502.8083</v>
      </c>
      <c r="L35" s="6">
        <v>3040733844.9583001</v>
      </c>
      <c r="M35" s="6">
        <v>3790342586.8927999</v>
      </c>
      <c r="N35" s="6">
        <v>4326605929.0427999</v>
      </c>
      <c r="O35" s="6">
        <v>2575572191.3295002</v>
      </c>
      <c r="P35" s="6">
        <v>3108769090.3695002</v>
      </c>
      <c r="Q35" s="6">
        <v>3632309659.684</v>
      </c>
      <c r="R35" s="6">
        <v>4165506558.724</v>
      </c>
      <c r="S35" s="6">
        <v>3215236971.5967999</v>
      </c>
      <c r="T35" s="6">
        <v>3648753839.3867998</v>
      </c>
      <c r="U35" s="6">
        <v>3075453901.3467999</v>
      </c>
      <c r="V35" s="6">
        <v>3508970769.1367998</v>
      </c>
      <c r="W35" s="6">
        <v>3518507683.3181</v>
      </c>
      <c r="X35" s="6">
        <v>3952024551.1080999</v>
      </c>
      <c r="Y35" s="6">
        <v>3774093667.8326998</v>
      </c>
      <c r="Z35" s="6">
        <v>4207610535.6227002</v>
      </c>
      <c r="AA35" s="10">
        <f t="shared" si="0"/>
        <v>35545140001.946205</v>
      </c>
      <c r="AB35" s="11">
        <v>5764251233.8500004</v>
      </c>
      <c r="AC35" s="11">
        <f t="shared" si="1"/>
        <v>116541442.62933183</v>
      </c>
      <c r="AD35" s="13">
        <f t="shared" si="2"/>
        <v>18899184.373278689</v>
      </c>
    </row>
    <row r="36" spans="1:30" ht="18" customHeight="1" x14ac:dyDescent="0.35">
      <c r="A36" s="4">
        <v>35</v>
      </c>
      <c r="B36" s="5" t="s">
        <v>60</v>
      </c>
      <c r="C36" s="6">
        <v>3006402326.6946001</v>
      </c>
      <c r="D36" s="6">
        <v>3129598410.3446002</v>
      </c>
      <c r="E36" s="6">
        <v>2711411855.3762002</v>
      </c>
      <c r="F36" s="6">
        <v>2834607939.0261998</v>
      </c>
      <c r="G36" s="6">
        <v>2980928225.3944998</v>
      </c>
      <c r="H36" s="6">
        <v>3104124309.0444999</v>
      </c>
      <c r="I36" s="6">
        <v>2673708325.7244</v>
      </c>
      <c r="J36" s="6">
        <v>2796904409.3744001</v>
      </c>
      <c r="K36" s="6">
        <v>2980166977.8862</v>
      </c>
      <c r="L36" s="6">
        <v>3103363061.5362</v>
      </c>
      <c r="M36" s="6">
        <v>4310259465.2135</v>
      </c>
      <c r="N36" s="6">
        <v>4433455548.8635006</v>
      </c>
      <c r="O36" s="6">
        <v>3047702060.4338999</v>
      </c>
      <c r="P36" s="6">
        <v>3169238905.5039001</v>
      </c>
      <c r="Q36" s="6">
        <v>4155194338.1162</v>
      </c>
      <c r="R36" s="6">
        <v>4276731183.1862001</v>
      </c>
      <c r="S36" s="6">
        <v>3617854167.5370998</v>
      </c>
      <c r="T36" s="6">
        <v>3739391012.6071</v>
      </c>
      <c r="U36" s="6">
        <v>3480703497.6497002</v>
      </c>
      <c r="V36" s="6">
        <v>3602240342.7196999</v>
      </c>
      <c r="W36" s="6">
        <v>3916369806.3048</v>
      </c>
      <c r="X36" s="6">
        <v>4037906651.3748002</v>
      </c>
      <c r="Y36" s="6">
        <v>4201822281.5918002</v>
      </c>
      <c r="Z36" s="6">
        <v>4323359126.6617994</v>
      </c>
      <c r="AA36" s="10">
        <f t="shared" si="0"/>
        <v>41082523327.922897</v>
      </c>
      <c r="AB36" s="11">
        <v>3598131936.5900002</v>
      </c>
      <c r="AC36" s="11">
        <f t="shared" si="1"/>
        <v>134696797.79646853</v>
      </c>
      <c r="AD36" s="13">
        <f t="shared" si="2"/>
        <v>11797153.890459016</v>
      </c>
    </row>
    <row r="37" spans="1:30" ht="18" customHeight="1" x14ac:dyDescent="0.35">
      <c r="A37" s="4">
        <v>36</v>
      </c>
      <c r="B37" s="5" t="s">
        <v>61</v>
      </c>
      <c r="C37" s="6">
        <v>2180150710.2972999</v>
      </c>
      <c r="D37" s="6">
        <v>3208668383.7172999</v>
      </c>
      <c r="E37" s="6">
        <v>1868580314.9236</v>
      </c>
      <c r="F37" s="6">
        <v>2897097988.3435998</v>
      </c>
      <c r="G37" s="6">
        <v>2137194965.0855999</v>
      </c>
      <c r="H37" s="6">
        <v>3165712638.5056</v>
      </c>
      <c r="I37" s="6">
        <v>1842384187.4702001</v>
      </c>
      <c r="J37" s="6">
        <v>2870901860.8902001</v>
      </c>
      <c r="K37" s="6">
        <v>2160461299.8025999</v>
      </c>
      <c r="L37" s="6">
        <v>3188978973.2226</v>
      </c>
      <c r="M37" s="6">
        <v>3455962567.0183001</v>
      </c>
      <c r="N37" s="6">
        <v>4484480240.4383001</v>
      </c>
      <c r="O37" s="6">
        <v>2197630961.7968998</v>
      </c>
      <c r="P37" s="6">
        <v>3225242439.7568998</v>
      </c>
      <c r="Q37" s="6">
        <v>3053330691.7852998</v>
      </c>
      <c r="R37" s="6">
        <v>4343296600.0552998</v>
      </c>
      <c r="S37" s="6">
        <v>2506665609.3434</v>
      </c>
      <c r="T37" s="6">
        <v>3796631517.6134</v>
      </c>
      <c r="U37" s="6">
        <v>2356276988.6942</v>
      </c>
      <c r="V37" s="6">
        <v>3646242896.9642</v>
      </c>
      <c r="W37" s="6">
        <v>2831197770.9524002</v>
      </c>
      <c r="X37" s="6">
        <v>4121163679.2224002</v>
      </c>
      <c r="Y37" s="6">
        <v>3108492614.1313</v>
      </c>
      <c r="Z37" s="6">
        <v>4398458522.4013004</v>
      </c>
      <c r="AA37" s="10">
        <f t="shared" si="0"/>
        <v>29698328681.301094</v>
      </c>
      <c r="AB37" s="11">
        <v>6023994930.9399996</v>
      </c>
      <c r="AC37" s="11">
        <f t="shared" si="1"/>
        <v>97371569.446888834</v>
      </c>
      <c r="AD37" s="13">
        <f t="shared" si="2"/>
        <v>19750803.052262295</v>
      </c>
    </row>
    <row r="38" spans="1:30" ht="18" customHeight="1" x14ac:dyDescent="0.35">
      <c r="A38" s="7">
        <v>37</v>
      </c>
      <c r="B38" s="8" t="s">
        <v>62</v>
      </c>
      <c r="C38" s="9">
        <v>4271048325.8429999</v>
      </c>
      <c r="D38" s="9"/>
      <c r="E38" s="9">
        <v>3860422905.9908009</v>
      </c>
      <c r="F38" s="9"/>
      <c r="G38" s="9">
        <v>4211137556.295701</v>
      </c>
      <c r="H38" s="9"/>
      <c r="I38" s="9">
        <v>3651231826.8613</v>
      </c>
      <c r="J38" s="9"/>
      <c r="K38" s="9">
        <v>4113373746.1802011</v>
      </c>
      <c r="L38" s="9"/>
      <c r="M38" s="9">
        <v>5960547650.0636997</v>
      </c>
      <c r="N38" s="9"/>
      <c r="O38" s="9">
        <v>4182944599.2302999</v>
      </c>
      <c r="P38" s="9"/>
      <c r="Q38" s="9">
        <v>5744859773.6412001</v>
      </c>
      <c r="R38" s="9"/>
      <c r="S38" s="9">
        <v>4984844813.4573994</v>
      </c>
      <c r="T38" s="9"/>
      <c r="U38" s="9">
        <v>4731375566.6698999</v>
      </c>
      <c r="V38" s="9"/>
      <c r="W38" s="9">
        <v>5449486299</v>
      </c>
      <c r="X38" s="9"/>
      <c r="Y38" s="9">
        <v>5833036982.8275995</v>
      </c>
      <c r="Z38" s="9"/>
      <c r="AA38" s="10">
        <f t="shared" si="0"/>
        <v>56994310046.061096</v>
      </c>
      <c r="AC38" s="11">
        <f t="shared" si="1"/>
        <v>186866590.3149544</v>
      </c>
      <c r="AD38" s="13">
        <f t="shared" si="2"/>
        <v>0</v>
      </c>
    </row>
    <row r="39" spans="1:30" x14ac:dyDescent="0.3">
      <c r="AA39" s="10">
        <f>SUM(AA2:AA38)</f>
        <v>1881707854553.8848</v>
      </c>
      <c r="AC39" s="11">
        <f t="shared" si="1"/>
        <v>6169533949.3569994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9"/>
  <sheetViews>
    <sheetView topLeftCell="T19" workbookViewId="0">
      <selection activeCell="AA40" sqref="AA40"/>
    </sheetView>
  </sheetViews>
  <sheetFormatPr defaultRowHeight="14.4" x14ac:dyDescent="0.3"/>
  <cols>
    <col min="1" max="1" width="6" customWidth="1"/>
    <col min="2" max="26" width="18" customWidth="1"/>
    <col min="27" max="27" width="22.5546875" customWidth="1"/>
    <col min="28" max="28" width="18.21875" bestFit="1" customWidth="1"/>
    <col min="29" max="29" width="17.44140625" customWidth="1"/>
    <col min="30" max="30" width="18" customWidth="1"/>
  </cols>
  <sheetData>
    <row r="1" spans="1:30" ht="24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66</v>
      </c>
      <c r="AB1" s="3" t="s">
        <v>67</v>
      </c>
      <c r="AC1" s="3" t="s">
        <v>185</v>
      </c>
      <c r="AD1" s="3" t="s">
        <v>186</v>
      </c>
    </row>
    <row r="2" spans="1:30" ht="18" customHeight="1" x14ac:dyDescent="0.35">
      <c r="A2" s="4">
        <v>1</v>
      </c>
      <c r="B2" s="5" t="s">
        <v>26</v>
      </c>
      <c r="C2" s="6">
        <v>4324428885.3403997</v>
      </c>
      <c r="D2" s="6">
        <v>4794611678.7004004</v>
      </c>
      <c r="E2" s="6">
        <v>4410041258.3485994</v>
      </c>
      <c r="F2" s="6">
        <v>4880224671.6085997</v>
      </c>
      <c r="G2" s="6">
        <v>4304777275.3975</v>
      </c>
      <c r="H2" s="6">
        <v>4774960688.6575003</v>
      </c>
      <c r="I2" s="6">
        <v>4546901793.9431</v>
      </c>
      <c r="J2" s="6">
        <v>5017085207.2031002</v>
      </c>
      <c r="K2" s="6">
        <v>4511794577.6896</v>
      </c>
      <c r="L2" s="6">
        <v>4981977990.9496002</v>
      </c>
      <c r="M2" s="6">
        <v>4708912123.6419001</v>
      </c>
      <c r="N2" s="6">
        <v>5179095536.9019003</v>
      </c>
      <c r="O2" s="6">
        <v>4602277617.2149</v>
      </c>
      <c r="P2" s="6">
        <v>5072846581.6349001</v>
      </c>
      <c r="Q2" s="6">
        <v>4849636358.3709002</v>
      </c>
      <c r="R2" s="6">
        <v>5320205322.7909002</v>
      </c>
      <c r="S2" s="6">
        <v>4730120023.8343</v>
      </c>
      <c r="T2" s="6">
        <v>5200688988.2543001</v>
      </c>
      <c r="U2" s="6">
        <v>4864921317.8979998</v>
      </c>
      <c r="V2" s="6">
        <v>5335490282.3179998</v>
      </c>
      <c r="W2" s="6">
        <v>5113734696.5200005</v>
      </c>
      <c r="Y2" s="6">
        <v>4297559540.8880997</v>
      </c>
      <c r="Z2" s="6">
        <v>4768128505.3080997</v>
      </c>
      <c r="AA2" s="10">
        <f>SUM(C2,E2,G2,I2,K2,M2,O2,Q2,S2,U2,W2,Y2)</f>
        <v>55265105469.087303</v>
      </c>
      <c r="AB2" s="11">
        <v>14834904447.49</v>
      </c>
      <c r="AC2" s="11">
        <f>AA2/306</f>
        <v>180604919.83361864</v>
      </c>
      <c r="AD2" s="13">
        <f>AB2/306</f>
        <v>48480079.89375817</v>
      </c>
    </row>
    <row r="3" spans="1:30" ht="18" customHeight="1" x14ac:dyDescent="0.35">
      <c r="A3" s="4">
        <v>2</v>
      </c>
      <c r="B3" s="5" t="s">
        <v>27</v>
      </c>
      <c r="C3" s="6">
        <v>3856191239.6434999</v>
      </c>
      <c r="D3" s="6">
        <v>4312412511.0035</v>
      </c>
      <c r="E3" s="6">
        <v>3906066780.0756011</v>
      </c>
      <c r="F3" s="6">
        <v>4362288051.4356003</v>
      </c>
      <c r="G3" s="6">
        <v>3768439354.2684999</v>
      </c>
      <c r="H3" s="6">
        <v>4264149564.4285002</v>
      </c>
      <c r="I3" s="6">
        <v>4085905463.013</v>
      </c>
      <c r="J3" s="6">
        <v>4581615673.1729994</v>
      </c>
      <c r="K3" s="6">
        <v>4038670060.4341998</v>
      </c>
      <c r="L3" s="6">
        <v>4534380270.5942001</v>
      </c>
      <c r="M3" s="6">
        <v>4413165867.2645006</v>
      </c>
      <c r="N3" s="6">
        <v>4908876077.4245005</v>
      </c>
      <c r="O3" s="6">
        <v>4132999065.5816998</v>
      </c>
      <c r="P3" s="6">
        <v>4646770189.8417006</v>
      </c>
      <c r="Q3" s="6">
        <v>4313473072.7460995</v>
      </c>
      <c r="R3" s="6">
        <v>4827244197.0060997</v>
      </c>
      <c r="S3" s="6">
        <v>4140199889.3979001</v>
      </c>
      <c r="T3" s="6">
        <v>4653971013.6578999</v>
      </c>
      <c r="U3" s="6">
        <v>4188271985.9159989</v>
      </c>
      <c r="V3" s="6">
        <v>4862043110.1759996</v>
      </c>
      <c r="W3" s="6">
        <v>4606779612.8000002</v>
      </c>
      <c r="Y3" s="6">
        <v>3904203506.3895001</v>
      </c>
      <c r="Z3" s="6">
        <v>4417974630.6494999</v>
      </c>
      <c r="AA3" s="10">
        <f t="shared" ref="AA3:AA38" si="0">SUM(C3,E3,G3,I3,K3,M3,O3,Q3,S3,U3,W3,Y3)</f>
        <v>49354365897.53051</v>
      </c>
      <c r="AB3" s="11">
        <v>6204876665.6199999</v>
      </c>
      <c r="AC3" s="11">
        <f t="shared" ref="AC3:AC39" si="1">AA3/306</f>
        <v>161288777.44291016</v>
      </c>
      <c r="AD3" s="13">
        <f t="shared" ref="AD3:AD38" si="2">AB3/306</f>
        <v>20277374.724248365</v>
      </c>
    </row>
    <row r="4" spans="1:30" ht="18" customHeight="1" x14ac:dyDescent="0.35">
      <c r="A4" s="4">
        <v>3</v>
      </c>
      <c r="B4" s="5" t="s">
        <v>28</v>
      </c>
      <c r="C4" s="6">
        <v>16339570154.8263</v>
      </c>
      <c r="D4" s="6">
        <v>17440735219.986301</v>
      </c>
      <c r="E4" s="6">
        <v>17981942660.403301</v>
      </c>
      <c r="F4" s="6">
        <v>19210306656.2033</v>
      </c>
      <c r="G4" s="6">
        <v>17216170708.3041</v>
      </c>
      <c r="H4" s="6">
        <v>18444534704.104099</v>
      </c>
      <c r="I4" s="6">
        <v>15241956856.4123</v>
      </c>
      <c r="J4" s="6">
        <v>16406721386.8923</v>
      </c>
      <c r="K4" s="6">
        <v>16862560303.332001</v>
      </c>
      <c r="L4" s="6">
        <v>18027324833.812</v>
      </c>
      <c r="M4" s="6">
        <v>14013275519.121599</v>
      </c>
      <c r="N4" s="6">
        <v>15178040049.601601</v>
      </c>
      <c r="O4" s="6">
        <v>15646011863.1199</v>
      </c>
      <c r="P4" s="6">
        <v>16797825973.319901</v>
      </c>
      <c r="Q4" s="6">
        <v>17115551322.7306</v>
      </c>
      <c r="R4" s="6">
        <v>18267365432.930599</v>
      </c>
      <c r="S4" s="6">
        <v>19437250779.609791</v>
      </c>
      <c r="T4" s="6">
        <v>20589064889.809799</v>
      </c>
      <c r="U4" s="6">
        <v>18462447388.2057</v>
      </c>
      <c r="V4" s="6">
        <v>19614261498.405701</v>
      </c>
      <c r="W4" s="6">
        <v>17489398194.419998</v>
      </c>
      <c r="Y4" s="6">
        <v>14456957512.9869</v>
      </c>
      <c r="Z4" s="6">
        <v>15620021623.186899</v>
      </c>
      <c r="AA4" s="10">
        <f t="shared" si="0"/>
        <v>200263093263.4725</v>
      </c>
      <c r="AB4" s="11">
        <v>24210810102.719997</v>
      </c>
      <c r="AC4" s="11">
        <f t="shared" si="1"/>
        <v>654454553.14860296</v>
      </c>
      <c r="AD4" s="13">
        <f t="shared" si="2"/>
        <v>79120294.453333318</v>
      </c>
    </row>
    <row r="5" spans="1:30" ht="18" customHeight="1" x14ac:dyDescent="0.35">
      <c r="A5" s="4">
        <v>4</v>
      </c>
      <c r="B5" s="5" t="s">
        <v>29</v>
      </c>
      <c r="C5" s="6">
        <v>4339800916.1961002</v>
      </c>
      <c r="D5" s="6">
        <v>4467282041.7660999</v>
      </c>
      <c r="E5" s="6">
        <v>4378983038.4403</v>
      </c>
      <c r="F5" s="6">
        <v>4506464162.2602997</v>
      </c>
      <c r="G5" s="6">
        <v>4257310410.7953</v>
      </c>
      <c r="H5" s="6">
        <v>4384791534.6153002</v>
      </c>
      <c r="I5" s="6">
        <v>4556651105.5061998</v>
      </c>
      <c r="J5" s="6">
        <v>4684132229.3261995</v>
      </c>
      <c r="K5" s="6">
        <v>4518629277.0945997</v>
      </c>
      <c r="L5" s="6">
        <v>4646110400.9146004</v>
      </c>
      <c r="M5" s="6">
        <v>4858189060.360899</v>
      </c>
      <c r="N5" s="6">
        <v>4985670184.1808996</v>
      </c>
      <c r="O5" s="6">
        <v>4601743098.8606005</v>
      </c>
      <c r="P5" s="6">
        <v>4738559802.1106005</v>
      </c>
      <c r="Q5" s="6">
        <v>4820651172.6666002</v>
      </c>
      <c r="R5" s="6">
        <v>4957467875.9166002</v>
      </c>
      <c r="S5" s="6">
        <v>4603945010.9072008</v>
      </c>
      <c r="T5" s="6">
        <v>4740761714.1572008</v>
      </c>
      <c r="U5" s="6">
        <v>4831885346.2832003</v>
      </c>
      <c r="V5" s="6">
        <v>4968702049.5332003</v>
      </c>
      <c r="W5" s="6">
        <v>5110338102.6000004</v>
      </c>
      <c r="Y5" s="6">
        <v>4414499932.9748001</v>
      </c>
      <c r="Z5" s="6">
        <v>4551316636.2248001</v>
      </c>
      <c r="AA5" s="10">
        <f t="shared" si="0"/>
        <v>55292626472.685806</v>
      </c>
      <c r="AB5" s="11">
        <v>19305267646.939999</v>
      </c>
      <c r="AC5" s="11">
        <f t="shared" si="1"/>
        <v>180694857.7538752</v>
      </c>
      <c r="AD5" s="13">
        <f t="shared" si="2"/>
        <v>63089109.957320258</v>
      </c>
    </row>
    <row r="6" spans="1:30" ht="18" customHeight="1" x14ac:dyDescent="0.35">
      <c r="A6" s="4">
        <v>5</v>
      </c>
      <c r="B6" s="5" t="s">
        <v>30</v>
      </c>
      <c r="C6" s="6">
        <v>4296020888.2138996</v>
      </c>
      <c r="D6" s="6">
        <v>5114231574.2739</v>
      </c>
      <c r="E6" s="6">
        <v>4219465212.0911989</v>
      </c>
      <c r="F6" s="6">
        <v>5165486989.5112</v>
      </c>
      <c r="G6" s="6">
        <v>4210185190.4018002</v>
      </c>
      <c r="H6" s="6">
        <v>5069114768.8318005</v>
      </c>
      <c r="I6" s="6">
        <v>4268703527.9769988</v>
      </c>
      <c r="J6" s="6">
        <v>5440876246.4069996</v>
      </c>
      <c r="K6" s="6">
        <v>4076610210.8982</v>
      </c>
      <c r="L6" s="6">
        <v>5381956314.1982002</v>
      </c>
      <c r="M6" s="6">
        <v>4988673774.4616985</v>
      </c>
      <c r="N6" s="6">
        <v>5847603352.8916998</v>
      </c>
      <c r="O6" s="6">
        <v>4190699080.8115988</v>
      </c>
      <c r="P6" s="6">
        <v>5513200147.3615999</v>
      </c>
      <c r="Q6" s="6">
        <v>4399318056.7404985</v>
      </c>
      <c r="R6" s="6">
        <v>5721819123.2904997</v>
      </c>
      <c r="S6" s="6">
        <v>4660197845.6423006</v>
      </c>
      <c r="T6" s="6">
        <v>5536282387.3223009</v>
      </c>
      <c r="U6" s="6">
        <v>4894800332.7130985</v>
      </c>
      <c r="V6" s="6">
        <v>5770884874.3930998</v>
      </c>
      <c r="W6" s="6">
        <v>5291289995.0100002</v>
      </c>
      <c r="Y6" s="6">
        <v>4470378402.5190001</v>
      </c>
      <c r="Z6" s="6">
        <v>5257821723.6890001</v>
      </c>
      <c r="AA6" s="10">
        <f t="shared" si="0"/>
        <v>53966342517.480293</v>
      </c>
      <c r="AB6" s="11">
        <v>9690832177.5799999</v>
      </c>
      <c r="AC6" s="11">
        <f t="shared" si="1"/>
        <v>176360596.46235389</v>
      </c>
      <c r="AD6" s="13">
        <f t="shared" si="2"/>
        <v>31669386.201241829</v>
      </c>
    </row>
    <row r="7" spans="1:30" ht="18" customHeight="1" x14ac:dyDescent="0.35">
      <c r="A7" s="4">
        <v>6</v>
      </c>
      <c r="B7" s="5" t="s">
        <v>31</v>
      </c>
      <c r="C7" s="6">
        <v>12629316303.0536</v>
      </c>
      <c r="D7" s="6">
        <v>14272436640.5336</v>
      </c>
      <c r="E7" s="6">
        <v>13666641889.556999</v>
      </c>
      <c r="F7" s="6">
        <v>15309762227.037001</v>
      </c>
      <c r="G7" s="6">
        <v>13219699883.3412</v>
      </c>
      <c r="H7" s="6">
        <v>14862820220.821199</v>
      </c>
      <c r="I7" s="6">
        <v>12351884853.1968</v>
      </c>
      <c r="J7" s="6">
        <v>13995005190.6768</v>
      </c>
      <c r="K7" s="6">
        <v>12665267000.914801</v>
      </c>
      <c r="L7" s="6">
        <v>14308387338.3948</v>
      </c>
      <c r="M7" s="6">
        <v>11015987614.082899</v>
      </c>
      <c r="N7" s="6">
        <v>12659107951.562901</v>
      </c>
      <c r="O7" s="6">
        <v>11997706491.320999</v>
      </c>
      <c r="P7" s="6">
        <v>13612232432.311001</v>
      </c>
      <c r="Q7" s="6">
        <v>12753583519.600901</v>
      </c>
      <c r="R7" s="6">
        <v>14368109460.5909</v>
      </c>
      <c r="S7" s="6">
        <v>12998258548.745001</v>
      </c>
      <c r="T7" s="6">
        <v>14612784489.735001</v>
      </c>
      <c r="U7" s="6">
        <v>13585327392.844999</v>
      </c>
      <c r="V7" s="6">
        <v>15199853333.834999</v>
      </c>
      <c r="W7" s="6">
        <v>13618708513.09</v>
      </c>
      <c r="Y7" s="6">
        <v>10729801481.8521</v>
      </c>
      <c r="Z7" s="6">
        <v>12277660756.1821</v>
      </c>
      <c r="AA7" s="10">
        <f t="shared" si="0"/>
        <v>151232183491.60031</v>
      </c>
      <c r="AB7" s="11">
        <v>13636545716.779999</v>
      </c>
      <c r="AC7" s="11">
        <f t="shared" si="1"/>
        <v>494222821.86797488</v>
      </c>
      <c r="AD7" s="13">
        <f t="shared" si="2"/>
        <v>44563874.891437903</v>
      </c>
    </row>
    <row r="8" spans="1:30" ht="18" customHeight="1" x14ac:dyDescent="0.35">
      <c r="A8" s="4">
        <v>7</v>
      </c>
      <c r="B8" s="5" t="s">
        <v>32</v>
      </c>
      <c r="C8" s="6">
        <v>4277679496.059</v>
      </c>
      <c r="D8" s="6">
        <v>4826577454.4490004</v>
      </c>
      <c r="E8" s="6">
        <v>4314800936.8132</v>
      </c>
      <c r="F8" s="6">
        <v>4863698895.2032003</v>
      </c>
      <c r="G8" s="6">
        <v>4223155864.3614001</v>
      </c>
      <c r="H8" s="6">
        <v>4772053822.7514009</v>
      </c>
      <c r="I8" s="6">
        <v>4561135898.1247997</v>
      </c>
      <c r="J8" s="6">
        <v>5110033856.5148001</v>
      </c>
      <c r="K8" s="6">
        <v>4537425360.6540995</v>
      </c>
      <c r="L8" s="6">
        <v>5086323319.0440998</v>
      </c>
      <c r="M8" s="6">
        <v>4938643238.3050985</v>
      </c>
      <c r="N8" s="6">
        <v>5487541196.6950998</v>
      </c>
      <c r="O8" s="6">
        <v>4639703690.6366997</v>
      </c>
      <c r="P8" s="6">
        <v>5193992139.3667002</v>
      </c>
      <c r="Q8" s="6">
        <v>4845058398.0293999</v>
      </c>
      <c r="R8" s="6">
        <v>5399346846.7593994</v>
      </c>
      <c r="S8" s="6">
        <v>4657087351.5739002</v>
      </c>
      <c r="T8" s="6">
        <v>5211375800.3039007</v>
      </c>
      <c r="U8" s="6">
        <v>4884651265.6433001</v>
      </c>
      <c r="V8" s="6">
        <v>5438939714.3733006</v>
      </c>
      <c r="W8" s="6">
        <v>5169728671.6599998</v>
      </c>
      <c r="Y8" s="6">
        <v>4405415664.9822006</v>
      </c>
      <c r="Z8" s="6">
        <v>4959704113.7122002</v>
      </c>
      <c r="AA8" s="10">
        <f t="shared" si="0"/>
        <v>55454485836.843102</v>
      </c>
      <c r="AB8" s="11">
        <v>11215482725.16</v>
      </c>
      <c r="AC8" s="11">
        <f t="shared" si="1"/>
        <v>181223809.92432386</v>
      </c>
      <c r="AD8" s="13">
        <f t="shared" si="2"/>
        <v>36651904.330588236</v>
      </c>
    </row>
    <row r="9" spans="1:30" ht="18" customHeight="1" x14ac:dyDescent="0.35">
      <c r="A9" s="4">
        <v>8</v>
      </c>
      <c r="B9" s="5" t="s">
        <v>33</v>
      </c>
      <c r="C9" s="6">
        <v>4873789518.0609999</v>
      </c>
      <c r="D9" s="6">
        <v>5213248988.191</v>
      </c>
      <c r="E9" s="6">
        <v>4932258686.1100998</v>
      </c>
      <c r="F9" s="6">
        <v>5271718156.2400999</v>
      </c>
      <c r="G9" s="6">
        <v>4840983266.8169994</v>
      </c>
      <c r="H9" s="6">
        <v>5180442736.9469995</v>
      </c>
      <c r="I9" s="6">
        <v>5212609789.7629995</v>
      </c>
      <c r="J9" s="6">
        <v>5552069259.8930006</v>
      </c>
      <c r="K9" s="6">
        <v>5159734597.6000996</v>
      </c>
      <c r="L9" s="6">
        <v>5499194067.7300997</v>
      </c>
      <c r="M9" s="6">
        <v>5631192170.0768995</v>
      </c>
      <c r="N9" s="6">
        <v>5970651640.2068996</v>
      </c>
      <c r="O9" s="6">
        <v>5304253592.3689985</v>
      </c>
      <c r="P9" s="6">
        <v>5645141870.0890007</v>
      </c>
      <c r="Q9" s="6">
        <v>5503847015.7704992</v>
      </c>
      <c r="R9" s="6">
        <v>5844735293.4904985</v>
      </c>
      <c r="S9" s="6">
        <v>5332696801.3717003</v>
      </c>
      <c r="T9" s="6">
        <v>5673585079.0916996</v>
      </c>
      <c r="U9" s="6">
        <v>5575126924.7353001</v>
      </c>
      <c r="V9" s="6">
        <v>5916015202.4552994</v>
      </c>
      <c r="W9" s="6">
        <v>5888534105.3999996</v>
      </c>
      <c r="Y9" s="6">
        <v>5031396271.5037994</v>
      </c>
      <c r="Z9" s="6">
        <v>5372284549.2237997</v>
      </c>
      <c r="AA9" s="10">
        <f t="shared" si="0"/>
        <v>63286422739.5784</v>
      </c>
      <c r="AB9" s="11">
        <v>6524300904.0599995</v>
      </c>
      <c r="AC9" s="11">
        <f t="shared" si="1"/>
        <v>206818374.96594247</v>
      </c>
      <c r="AD9" s="13">
        <f t="shared" si="2"/>
        <v>21321244.7845098</v>
      </c>
    </row>
    <row r="10" spans="1:30" ht="18" customHeight="1" x14ac:dyDescent="0.35">
      <c r="A10" s="4">
        <v>9</v>
      </c>
      <c r="B10" s="5" t="s">
        <v>34</v>
      </c>
      <c r="C10" s="6">
        <v>2751244818.1563001</v>
      </c>
      <c r="D10" s="6">
        <v>4312718139.6563005</v>
      </c>
      <c r="E10" s="6">
        <v>2790159465.3257999</v>
      </c>
      <c r="F10" s="6">
        <v>4351633346.0657997</v>
      </c>
      <c r="G10" s="6">
        <v>2728534743.4345002</v>
      </c>
      <c r="H10" s="6">
        <v>4290008624.1745</v>
      </c>
      <c r="I10" s="6">
        <v>3016506530.7848001</v>
      </c>
      <c r="J10" s="6">
        <v>4577980411.5247993</v>
      </c>
      <c r="K10" s="6">
        <v>2966772773.1057</v>
      </c>
      <c r="L10" s="6">
        <v>4528246653.8457003</v>
      </c>
      <c r="M10" s="6">
        <v>3364513889.3183999</v>
      </c>
      <c r="N10" s="6">
        <v>4925987770.0584002</v>
      </c>
      <c r="O10" s="6">
        <v>3134529499.3867998</v>
      </c>
      <c r="P10" s="6">
        <v>4647442100.5768003</v>
      </c>
      <c r="Q10" s="6">
        <v>3311628682.9236002</v>
      </c>
      <c r="R10" s="6">
        <v>4824541284.1135998</v>
      </c>
      <c r="S10" s="6">
        <v>3152206487.9295001</v>
      </c>
      <c r="T10" s="6">
        <v>4665119089.1195002</v>
      </c>
      <c r="U10" s="6">
        <v>3298270227.7954001</v>
      </c>
      <c r="V10" s="6">
        <v>4875156514.8453999</v>
      </c>
      <c r="W10" s="6">
        <v>3567333530.1599998</v>
      </c>
      <c r="Y10" s="6">
        <v>2908693845.1325998</v>
      </c>
      <c r="Z10" s="6">
        <v>4421606446.3226004</v>
      </c>
      <c r="AA10" s="10">
        <f t="shared" si="0"/>
        <v>36990394493.4534</v>
      </c>
      <c r="AB10" s="11">
        <v>17552112937.089996</v>
      </c>
      <c r="AC10" s="11">
        <f t="shared" si="1"/>
        <v>120883642.13546863</v>
      </c>
      <c r="AD10" s="13">
        <f t="shared" si="2"/>
        <v>57359846.199640512</v>
      </c>
    </row>
    <row r="11" spans="1:30" ht="18" customHeight="1" x14ac:dyDescent="0.35">
      <c r="A11" s="4">
        <v>10</v>
      </c>
      <c r="B11" s="5" t="s">
        <v>35</v>
      </c>
      <c r="C11" s="6">
        <v>15970920556.929701</v>
      </c>
      <c r="D11" s="6">
        <v>18272642882.5797</v>
      </c>
      <c r="E11" s="6">
        <v>17167312303.0655</v>
      </c>
      <c r="F11" s="6">
        <v>19469009903.3055</v>
      </c>
      <c r="G11" s="6">
        <v>17399390356.292702</v>
      </c>
      <c r="H11" s="6">
        <v>19701087956.5327</v>
      </c>
      <c r="I11" s="6">
        <v>17015899344.487</v>
      </c>
      <c r="J11" s="6">
        <v>19317596944.727001</v>
      </c>
      <c r="K11" s="6">
        <v>17333533745.523499</v>
      </c>
      <c r="L11" s="6">
        <v>19635231345.7635</v>
      </c>
      <c r="M11" s="6">
        <v>15104272701.638201</v>
      </c>
      <c r="N11" s="6">
        <v>17405970301.878201</v>
      </c>
      <c r="O11" s="6">
        <v>16456221686.7848</v>
      </c>
      <c r="P11" s="6">
        <v>18728658347.434799</v>
      </c>
      <c r="Q11" s="6">
        <v>17843532235.321602</v>
      </c>
      <c r="R11" s="6">
        <v>20115968895.9716</v>
      </c>
      <c r="S11" s="6">
        <v>20910696956.749401</v>
      </c>
      <c r="T11" s="6">
        <v>22084225975.199402</v>
      </c>
      <c r="U11" s="6">
        <v>20976071456.375401</v>
      </c>
      <c r="V11" s="6">
        <v>22149600474.825401</v>
      </c>
      <c r="W11" s="6">
        <v>21158203772.709999</v>
      </c>
      <c r="Y11" s="6">
        <v>17360640513.618198</v>
      </c>
      <c r="Z11" s="6">
        <v>18534169532.068199</v>
      </c>
      <c r="AA11" s="10">
        <f t="shared" si="0"/>
        <v>214696695629.49597</v>
      </c>
      <c r="AB11" s="11">
        <v>58439598672.309998</v>
      </c>
      <c r="AC11" s="11">
        <f t="shared" si="1"/>
        <v>701623188.33168614</v>
      </c>
      <c r="AD11" s="13">
        <f t="shared" si="2"/>
        <v>190979080.62846404</v>
      </c>
    </row>
    <row r="12" spans="1:30" ht="18" customHeight="1" x14ac:dyDescent="0.35">
      <c r="A12" s="4">
        <v>11</v>
      </c>
      <c r="B12" s="5" t="s">
        <v>36</v>
      </c>
      <c r="C12" s="6">
        <v>3531257070.6257</v>
      </c>
      <c r="D12" s="6">
        <v>3869669985.0363998</v>
      </c>
      <c r="E12" s="6">
        <v>3575453836.3046999</v>
      </c>
      <c r="F12" s="6">
        <v>3914849886.8414001</v>
      </c>
      <c r="G12" s="6">
        <v>3526133689.5771999</v>
      </c>
      <c r="H12" s="6">
        <v>3861318738.8017998</v>
      </c>
      <c r="I12" s="6">
        <v>3766448747.6609998</v>
      </c>
      <c r="J12" s="6">
        <v>4108086389.2009001</v>
      </c>
      <c r="K12" s="6">
        <v>3572353751.0202012</v>
      </c>
      <c r="L12" s="6">
        <v>4073181488.2586999</v>
      </c>
      <c r="M12" s="6">
        <v>3908798468.7389998</v>
      </c>
      <c r="N12" s="6">
        <v>4410932209.5434008</v>
      </c>
      <c r="O12" s="6">
        <v>3688222820.5805998</v>
      </c>
      <c r="P12" s="6">
        <v>4195329190.4945998</v>
      </c>
      <c r="Q12" s="6">
        <v>3885531918.5411</v>
      </c>
      <c r="R12" s="6">
        <v>4393244365.1357002</v>
      </c>
      <c r="S12" s="6">
        <v>3676472460.7339001</v>
      </c>
      <c r="T12" s="6">
        <v>4182804341.3530002</v>
      </c>
      <c r="U12" s="6">
        <v>3974677140.4074998</v>
      </c>
      <c r="V12" s="6">
        <v>4403480781.8167</v>
      </c>
      <c r="W12" s="6">
        <v>4215322384.5599999</v>
      </c>
      <c r="Y12" s="6">
        <v>3600172724.0089011</v>
      </c>
      <c r="Z12" s="6">
        <v>4025482948.9003</v>
      </c>
      <c r="AA12" s="10">
        <f t="shared" si="0"/>
        <v>44920845012.759804</v>
      </c>
      <c r="AB12" s="11">
        <v>6144587065.6500006</v>
      </c>
      <c r="AC12" s="11">
        <f t="shared" si="1"/>
        <v>146800147.10052222</v>
      </c>
      <c r="AD12" s="13">
        <f t="shared" si="2"/>
        <v>20080349.887745101</v>
      </c>
    </row>
    <row r="13" spans="1:30" ht="18" customHeight="1" x14ac:dyDescent="0.35">
      <c r="A13" s="4">
        <v>12</v>
      </c>
      <c r="B13" s="5" t="s">
        <v>37</v>
      </c>
      <c r="C13" s="6">
        <v>5492762140.1681995</v>
      </c>
      <c r="D13" s="6">
        <v>5951886274.9882002</v>
      </c>
      <c r="E13" s="6">
        <v>5296761382.1420002</v>
      </c>
      <c r="F13" s="6">
        <v>6275885516.9620008</v>
      </c>
      <c r="G13" s="6">
        <v>5766306660.110199</v>
      </c>
      <c r="H13" s="6">
        <v>6225430794.9302006</v>
      </c>
      <c r="I13" s="6">
        <v>5628074732.6264009</v>
      </c>
      <c r="J13" s="6">
        <v>6087198867.4464006</v>
      </c>
      <c r="K13" s="6">
        <v>5615784503.4211998</v>
      </c>
      <c r="L13" s="6">
        <v>6074908638.2411985</v>
      </c>
      <c r="M13" s="6">
        <v>5912673238.1548986</v>
      </c>
      <c r="N13" s="6">
        <v>6371797372.9748983</v>
      </c>
      <c r="O13" s="6">
        <v>5636899066.7062998</v>
      </c>
      <c r="P13" s="6">
        <v>6109535231.5762997</v>
      </c>
      <c r="Q13" s="6">
        <v>6109614126.0450993</v>
      </c>
      <c r="R13" s="6">
        <v>6582250290.9150991</v>
      </c>
      <c r="S13" s="6">
        <v>5936932364.3647003</v>
      </c>
      <c r="T13" s="6">
        <v>6409568529.2347002</v>
      </c>
      <c r="U13" s="6">
        <v>6284837050.5050001</v>
      </c>
      <c r="V13" s="6">
        <v>6757473215.375</v>
      </c>
      <c r="W13" s="6">
        <v>6405854372.6899996</v>
      </c>
      <c r="Y13" s="6">
        <v>5385797159.1861</v>
      </c>
      <c r="Z13" s="6">
        <v>5858433324.0560989</v>
      </c>
      <c r="AA13" s="10">
        <f t="shared" si="0"/>
        <v>69472296796.120102</v>
      </c>
      <c r="AB13" s="11">
        <v>28425496842.23</v>
      </c>
      <c r="AC13" s="11">
        <f t="shared" si="1"/>
        <v>227033649.66052321</v>
      </c>
      <c r="AD13" s="13">
        <f t="shared" si="2"/>
        <v>92893780.530163392</v>
      </c>
    </row>
    <row r="14" spans="1:30" ht="18" customHeight="1" x14ac:dyDescent="0.35">
      <c r="A14" s="4">
        <v>13</v>
      </c>
      <c r="B14" s="5" t="s">
        <v>38</v>
      </c>
      <c r="C14" s="6">
        <v>2862545067.9214001</v>
      </c>
      <c r="D14" s="6">
        <v>3878079601.9414001</v>
      </c>
      <c r="E14" s="6">
        <v>2947018622.3234</v>
      </c>
      <c r="F14" s="6">
        <v>3921463112.8034</v>
      </c>
      <c r="G14" s="6">
        <v>2869632883.8432999</v>
      </c>
      <c r="H14" s="6">
        <v>3844077374.3232999</v>
      </c>
      <c r="I14" s="6">
        <v>3100078624.2708988</v>
      </c>
      <c r="J14" s="6">
        <v>4115635614.7508998</v>
      </c>
      <c r="K14" s="6">
        <v>3135960305.0983</v>
      </c>
      <c r="L14" s="6">
        <v>4110404795.5783</v>
      </c>
      <c r="M14" s="6">
        <v>3464532068.7593999</v>
      </c>
      <c r="N14" s="6">
        <v>4438976559.2393999</v>
      </c>
      <c r="O14" s="6">
        <v>3155268339.1546001</v>
      </c>
      <c r="P14" s="6">
        <v>4174084731.0946002</v>
      </c>
      <c r="Q14" s="6">
        <v>3394842873.250699</v>
      </c>
      <c r="R14" s="6">
        <v>4372546765.1906996</v>
      </c>
      <c r="S14" s="6">
        <v>3624228314.8196001</v>
      </c>
      <c r="T14" s="6">
        <v>4204735398.7596002</v>
      </c>
      <c r="U14" s="6">
        <v>3759057252.937099</v>
      </c>
      <c r="V14" s="6">
        <v>4380676836.8771</v>
      </c>
      <c r="W14" s="6">
        <v>4012701847.5100002</v>
      </c>
      <c r="Y14" s="6">
        <v>3419726687.9755988</v>
      </c>
      <c r="Z14" s="6">
        <v>4000233771.9155998</v>
      </c>
      <c r="AA14" s="10">
        <f t="shared" si="0"/>
        <v>39745592887.864296</v>
      </c>
      <c r="AB14" s="11">
        <v>6465374250.6499996</v>
      </c>
      <c r="AC14" s="11">
        <f t="shared" si="1"/>
        <v>129887558.45707287</v>
      </c>
      <c r="AD14" s="13">
        <f t="shared" si="2"/>
        <v>21128674.021732025</v>
      </c>
    </row>
    <row r="15" spans="1:30" ht="18" customHeight="1" x14ac:dyDescent="0.35">
      <c r="A15" s="4">
        <v>14</v>
      </c>
      <c r="B15" s="5" t="s">
        <v>39</v>
      </c>
      <c r="C15" s="6">
        <v>4084577673.4211998</v>
      </c>
      <c r="D15" s="6">
        <v>4341262836.6211996</v>
      </c>
      <c r="E15" s="6">
        <v>4139295743.7272</v>
      </c>
      <c r="F15" s="6">
        <v>4396134186.4471998</v>
      </c>
      <c r="G15" s="6">
        <v>4070874497.8354998</v>
      </c>
      <c r="H15" s="6">
        <v>4327712940.5555</v>
      </c>
      <c r="I15" s="6">
        <v>4370318352.6966</v>
      </c>
      <c r="J15" s="6">
        <v>4627156795.4165993</v>
      </c>
      <c r="K15" s="6">
        <v>4338082837.0190001</v>
      </c>
      <c r="L15" s="6">
        <v>4594921279.7390003</v>
      </c>
      <c r="M15" s="6">
        <v>4710737856.0636005</v>
      </c>
      <c r="N15" s="6">
        <v>4967576298.7836008</v>
      </c>
      <c r="O15" s="6">
        <v>4449133107.1157999</v>
      </c>
      <c r="P15" s="6">
        <v>4706131767.3858004</v>
      </c>
      <c r="Q15" s="6">
        <v>4735204978.0632</v>
      </c>
      <c r="R15" s="6">
        <v>4992203638.3332005</v>
      </c>
      <c r="S15" s="6">
        <v>4479534876.1396999</v>
      </c>
      <c r="T15" s="6">
        <v>4736533536.4097004</v>
      </c>
      <c r="U15" s="6">
        <v>4699816250.7603998</v>
      </c>
      <c r="V15" s="6">
        <v>4956814911.0304003</v>
      </c>
      <c r="W15" s="6">
        <v>4969772487.8599997</v>
      </c>
      <c r="Y15" s="6">
        <v>4217547600.6526999</v>
      </c>
      <c r="Z15" s="6">
        <v>4474546260.9226999</v>
      </c>
      <c r="AA15" s="10">
        <f t="shared" si="0"/>
        <v>53264896261.354904</v>
      </c>
      <c r="AB15" s="11">
        <v>22145937216</v>
      </c>
      <c r="AC15" s="11">
        <f t="shared" si="1"/>
        <v>174068288.43580034</v>
      </c>
      <c r="AD15" s="13">
        <f t="shared" si="2"/>
        <v>72372343.843137249</v>
      </c>
    </row>
    <row r="16" spans="1:30" ht="18" customHeight="1" x14ac:dyDescent="0.35">
      <c r="A16" s="4">
        <v>15</v>
      </c>
      <c r="B16" s="5" t="s">
        <v>40</v>
      </c>
      <c r="C16" s="6">
        <v>3332296769.2049999</v>
      </c>
      <c r="D16" s="6">
        <v>4028951973.835</v>
      </c>
      <c r="E16" s="6">
        <v>3378903087.8165002</v>
      </c>
      <c r="F16" s="6">
        <v>4075615983.5165</v>
      </c>
      <c r="G16" s="6">
        <v>3297361202.9910002</v>
      </c>
      <c r="H16" s="6">
        <v>3994074098.691</v>
      </c>
      <c r="I16" s="6">
        <v>3619678231.0454988</v>
      </c>
      <c r="J16" s="6">
        <v>4316391126.7454996</v>
      </c>
      <c r="K16" s="6">
        <v>3545396681.9547</v>
      </c>
      <c r="L16" s="6">
        <v>4242109577.6546998</v>
      </c>
      <c r="M16" s="6">
        <v>3902865310.9260998</v>
      </c>
      <c r="N16" s="6">
        <v>4599578206.6261005</v>
      </c>
      <c r="O16" s="6">
        <v>3638104941.4453001</v>
      </c>
      <c r="P16" s="6">
        <v>4342212144.7852993</v>
      </c>
      <c r="Q16" s="6">
        <v>3807301241.1078</v>
      </c>
      <c r="R16" s="6">
        <v>4511408444.4477997</v>
      </c>
      <c r="S16" s="6">
        <v>3705938573.9295001</v>
      </c>
      <c r="T16" s="6">
        <v>4382380067.9195004</v>
      </c>
      <c r="U16" s="6">
        <v>3968995656.0654998</v>
      </c>
      <c r="V16" s="6">
        <v>4645437150.0555</v>
      </c>
      <c r="W16" s="6">
        <v>4148836475.02</v>
      </c>
      <c r="Y16" s="6">
        <v>3331616229.2989011</v>
      </c>
      <c r="Z16" s="6">
        <v>4150403994.7289</v>
      </c>
      <c r="AA16" s="10">
        <f t="shared" si="0"/>
        <v>43677294400.805801</v>
      </c>
      <c r="AB16" s="11">
        <v>7343549621.5299997</v>
      </c>
      <c r="AC16" s="11">
        <f t="shared" si="1"/>
        <v>142736256.21178368</v>
      </c>
      <c r="AD16" s="13">
        <f t="shared" si="2"/>
        <v>23998528.174934641</v>
      </c>
    </row>
    <row r="17" spans="1:30" ht="18" customHeight="1" x14ac:dyDescent="0.35">
      <c r="A17" s="4">
        <v>16</v>
      </c>
      <c r="B17" s="5" t="s">
        <v>41</v>
      </c>
      <c r="C17" s="6">
        <v>4273154376.0453</v>
      </c>
      <c r="D17" s="6">
        <v>5143683449.2653008</v>
      </c>
      <c r="E17" s="6">
        <v>4312380266.850399</v>
      </c>
      <c r="F17" s="6">
        <v>5182909340.0704002</v>
      </c>
      <c r="G17" s="6">
        <v>3938155446.2487011</v>
      </c>
      <c r="H17" s="6">
        <v>4808684519.4687004</v>
      </c>
      <c r="I17" s="6">
        <v>4318711837.0239</v>
      </c>
      <c r="J17" s="6">
        <v>5189240910.2439003</v>
      </c>
      <c r="K17" s="6">
        <v>4395464124.7739</v>
      </c>
      <c r="L17" s="6">
        <v>5265993197.9939003</v>
      </c>
      <c r="M17" s="6">
        <v>4662042350.7525997</v>
      </c>
      <c r="N17" s="6">
        <v>5532571423.9726</v>
      </c>
      <c r="O17" s="6">
        <v>4496658809.3292999</v>
      </c>
      <c r="P17" s="6">
        <v>5369647432.5193005</v>
      </c>
      <c r="Q17" s="6">
        <v>4799546302.5067015</v>
      </c>
      <c r="R17" s="6">
        <v>5672534925.696701</v>
      </c>
      <c r="S17" s="6">
        <v>4547912867.5503998</v>
      </c>
      <c r="T17" s="6">
        <v>5420901490.7404003</v>
      </c>
      <c r="U17" s="6">
        <v>5044242237.3035002</v>
      </c>
      <c r="V17" s="6">
        <v>5917230860.4935007</v>
      </c>
      <c r="W17" s="6">
        <v>5251688382.4399996</v>
      </c>
      <c r="Y17" s="6">
        <v>4542579414.266901</v>
      </c>
      <c r="Z17" s="6">
        <v>5415568037.4569006</v>
      </c>
      <c r="AA17" s="10">
        <f t="shared" si="0"/>
        <v>54582536415.091599</v>
      </c>
      <c r="AB17" s="11">
        <v>14884271810.310001</v>
      </c>
      <c r="AC17" s="11">
        <f t="shared" si="1"/>
        <v>178374302.01010326</v>
      </c>
      <c r="AD17" s="13">
        <f t="shared" si="2"/>
        <v>48641411.144803926</v>
      </c>
    </row>
    <row r="18" spans="1:30" ht="18" customHeight="1" x14ac:dyDescent="0.35">
      <c r="A18" s="4">
        <v>17</v>
      </c>
      <c r="B18" s="5" t="s">
        <v>42</v>
      </c>
      <c r="C18" s="6">
        <v>4665338686.157299</v>
      </c>
      <c r="D18" s="6">
        <v>4855462553.4172993</v>
      </c>
      <c r="E18" s="6">
        <v>4729887662.1959991</v>
      </c>
      <c r="F18" s="6">
        <v>4920012252.9759998</v>
      </c>
      <c r="G18" s="6">
        <v>4628457640.5851002</v>
      </c>
      <c r="H18" s="6">
        <v>4818582231.3650999</v>
      </c>
      <c r="I18" s="6">
        <v>4982847766.4477997</v>
      </c>
      <c r="J18" s="6">
        <v>5172972357.2278004</v>
      </c>
      <c r="K18" s="6">
        <v>4939130587.6768999</v>
      </c>
      <c r="L18" s="6">
        <v>5129255178.4568996</v>
      </c>
      <c r="M18" s="6">
        <v>5333867761.2740002</v>
      </c>
      <c r="N18" s="6">
        <v>5523992352.0539989</v>
      </c>
      <c r="O18" s="6">
        <v>5016627671.3853998</v>
      </c>
      <c r="P18" s="6">
        <v>5209474036.3853998</v>
      </c>
      <c r="Q18" s="6">
        <v>5262612797.9362001</v>
      </c>
      <c r="R18" s="6">
        <v>5455459162.9362001</v>
      </c>
      <c r="S18" s="6">
        <v>5044629245.5296993</v>
      </c>
      <c r="T18" s="6">
        <v>5237475610.5297003</v>
      </c>
      <c r="U18" s="6">
        <v>5335733935.3158998</v>
      </c>
      <c r="V18" s="6">
        <v>5528580300.3158998</v>
      </c>
      <c r="W18" s="6">
        <v>5586061640.3900003</v>
      </c>
      <c r="Y18" s="6">
        <v>4826944123.4983997</v>
      </c>
      <c r="Z18" s="6">
        <v>5019790488.4983997</v>
      </c>
      <c r="AA18" s="10">
        <f t="shared" si="0"/>
        <v>60352139518.3927</v>
      </c>
      <c r="AB18" s="11">
        <v>9246250836.0300007</v>
      </c>
      <c r="AC18" s="11">
        <f t="shared" si="1"/>
        <v>197229214.11239445</v>
      </c>
      <c r="AD18" s="13">
        <f t="shared" si="2"/>
        <v>30216506.000098042</v>
      </c>
    </row>
    <row r="19" spans="1:30" ht="18" customHeight="1" x14ac:dyDescent="0.35">
      <c r="A19" s="4">
        <v>18</v>
      </c>
      <c r="B19" s="5" t="s">
        <v>43</v>
      </c>
      <c r="C19" s="6">
        <v>5337298730.4130993</v>
      </c>
      <c r="D19" s="6">
        <v>5727741798.3130999</v>
      </c>
      <c r="E19" s="6">
        <v>5395041957.3828001</v>
      </c>
      <c r="F19" s="6">
        <v>5785485025.2827997</v>
      </c>
      <c r="G19" s="6">
        <v>5324102170.0714998</v>
      </c>
      <c r="H19" s="6">
        <v>5714545237.9715004</v>
      </c>
      <c r="I19" s="6">
        <v>5682130826.4961996</v>
      </c>
      <c r="J19" s="6">
        <v>6072573894.3962002</v>
      </c>
      <c r="K19" s="6">
        <v>5639859693.7524996</v>
      </c>
      <c r="L19" s="6">
        <v>6030302761.6525002</v>
      </c>
      <c r="M19" s="6">
        <v>6097799763.5774994</v>
      </c>
      <c r="N19" s="6">
        <v>6488242831.4775009</v>
      </c>
      <c r="O19" s="6">
        <v>5729735528.7684994</v>
      </c>
      <c r="P19" s="6">
        <v>6143863212.3985004</v>
      </c>
      <c r="Q19" s="6">
        <v>5997684672.1359997</v>
      </c>
      <c r="R19" s="6">
        <v>6411812355.7659998</v>
      </c>
      <c r="S19" s="6">
        <v>5756477253.9684</v>
      </c>
      <c r="T19" s="6">
        <v>6170604937.5984011</v>
      </c>
      <c r="U19" s="6">
        <v>6065978224.9317989</v>
      </c>
      <c r="V19" s="6">
        <v>6480105908.5618</v>
      </c>
      <c r="W19" s="6">
        <v>6341181685.5699997</v>
      </c>
      <c r="Y19" s="6">
        <v>5528639078.2964001</v>
      </c>
      <c r="Z19" s="6">
        <v>5942766761.9263992</v>
      </c>
      <c r="AA19" s="10">
        <f t="shared" si="0"/>
        <v>68895929585.3647</v>
      </c>
      <c r="AB19" s="11">
        <v>29446386924.740002</v>
      </c>
      <c r="AC19" s="11">
        <f t="shared" si="1"/>
        <v>225150096.68419838</v>
      </c>
      <c r="AD19" s="13">
        <f t="shared" si="2"/>
        <v>96230022.629869282</v>
      </c>
    </row>
    <row r="20" spans="1:30" ht="18" customHeight="1" x14ac:dyDescent="0.35">
      <c r="A20" s="4">
        <v>19</v>
      </c>
      <c r="B20" s="5" t="s">
        <v>44</v>
      </c>
      <c r="C20" s="6">
        <v>6510717908.5362997</v>
      </c>
      <c r="D20" s="6">
        <v>7050377034.2563</v>
      </c>
      <c r="E20" s="6">
        <v>6531103055.0082006</v>
      </c>
      <c r="F20" s="6">
        <v>7057056701.2782001</v>
      </c>
      <c r="G20" s="6">
        <v>6426128892.0186005</v>
      </c>
      <c r="H20" s="6">
        <v>6964514045.1286011</v>
      </c>
      <c r="I20" s="6">
        <v>6905033687.8218002</v>
      </c>
      <c r="J20" s="6">
        <v>7438466786.1417999</v>
      </c>
      <c r="K20" s="6">
        <v>6894085914.2830992</v>
      </c>
      <c r="L20" s="6">
        <v>7431197094.7930994</v>
      </c>
      <c r="M20" s="6">
        <v>7505333916.3684006</v>
      </c>
      <c r="N20" s="6">
        <v>7978393839.388401</v>
      </c>
      <c r="O20" s="6">
        <v>7064153894.8625002</v>
      </c>
      <c r="P20" s="6">
        <v>7546020515.1424999</v>
      </c>
      <c r="Q20" s="6">
        <v>7377289492.8968992</v>
      </c>
      <c r="R20" s="6">
        <v>7858519127.0768995</v>
      </c>
      <c r="S20" s="6">
        <v>7092167466.6527004</v>
      </c>
      <c r="T20" s="6">
        <v>7568547785.5627003</v>
      </c>
      <c r="U20" s="6">
        <v>7455293458.536499</v>
      </c>
      <c r="V20" s="6">
        <v>7935249119.9164991</v>
      </c>
      <c r="W20" s="6">
        <v>7830774113.1700001</v>
      </c>
      <c r="Y20" s="6">
        <v>6793657675.1562996</v>
      </c>
      <c r="Z20" s="6">
        <v>7272339363.9263</v>
      </c>
      <c r="AA20" s="10">
        <f t="shared" si="0"/>
        <v>84385739475.31131</v>
      </c>
      <c r="AB20" s="11">
        <v>44107375284.25</v>
      </c>
      <c r="AC20" s="11">
        <f t="shared" si="1"/>
        <v>275770390.44219381</v>
      </c>
      <c r="AD20" s="13">
        <f t="shared" si="2"/>
        <v>144141749.29493463</v>
      </c>
    </row>
    <row r="21" spans="1:30" ht="18" customHeight="1" x14ac:dyDescent="0.35">
      <c r="A21" s="4">
        <v>20</v>
      </c>
      <c r="B21" s="5" t="s">
        <v>45</v>
      </c>
      <c r="C21" s="6">
        <v>4637537544.3667002</v>
      </c>
      <c r="D21" s="6">
        <v>5372875220.2567015</v>
      </c>
      <c r="E21" s="6">
        <v>4644685074.1113005</v>
      </c>
      <c r="F21" s="6">
        <v>5386651207.1313</v>
      </c>
      <c r="G21" s="6">
        <v>4576948729.7716999</v>
      </c>
      <c r="H21" s="6">
        <v>5315857282.8317003</v>
      </c>
      <c r="I21" s="6">
        <v>4922497877.1027002</v>
      </c>
      <c r="J21" s="6">
        <v>5663132806.9826994</v>
      </c>
      <c r="K21" s="6">
        <v>4898115830.7536993</v>
      </c>
      <c r="L21" s="6">
        <v>5635715961.4137001</v>
      </c>
      <c r="M21" s="6">
        <v>5333939389.9821987</v>
      </c>
      <c r="N21" s="6">
        <v>6073243116.7222004</v>
      </c>
      <c r="O21" s="6">
        <v>4997632625.9376001</v>
      </c>
      <c r="P21" s="6">
        <v>5732800401.7376003</v>
      </c>
      <c r="Q21" s="6">
        <v>5675732581.6028004</v>
      </c>
      <c r="R21" s="6">
        <v>6002635612.3128004</v>
      </c>
      <c r="S21" s="6">
        <v>5440003391.3232002</v>
      </c>
      <c r="T21" s="6">
        <v>5768575846.983201</v>
      </c>
      <c r="U21" s="6">
        <v>5707994880.393301</v>
      </c>
      <c r="V21" s="6">
        <v>6033589488.7033005</v>
      </c>
      <c r="W21" s="6">
        <v>6099338919.04</v>
      </c>
      <c r="Y21" s="6">
        <v>5173084897.6056995</v>
      </c>
      <c r="Z21" s="6">
        <v>5499660548.5957003</v>
      </c>
      <c r="AA21" s="10">
        <f t="shared" si="0"/>
        <v>62107511741.990906</v>
      </c>
      <c r="AB21" s="11">
        <v>6961870329</v>
      </c>
      <c r="AC21" s="11">
        <f t="shared" si="1"/>
        <v>202965724.6470291</v>
      </c>
      <c r="AD21" s="13">
        <f t="shared" si="2"/>
        <v>22751210.225490198</v>
      </c>
    </row>
    <row r="22" spans="1:30" ht="18" customHeight="1" x14ac:dyDescent="0.35">
      <c r="A22" s="4">
        <v>21</v>
      </c>
      <c r="B22" s="5" t="s">
        <v>46</v>
      </c>
      <c r="C22" s="6">
        <v>4192543922.0198998</v>
      </c>
      <c r="D22" s="6">
        <v>4495429506.9998999</v>
      </c>
      <c r="E22" s="6">
        <v>4277725170.0664001</v>
      </c>
      <c r="F22" s="6">
        <v>4580660537.2063999</v>
      </c>
      <c r="G22" s="6">
        <v>4190559455.6718001</v>
      </c>
      <c r="H22" s="6">
        <v>4493494822.811799</v>
      </c>
      <c r="I22" s="6">
        <v>4485906456.1335001</v>
      </c>
      <c r="J22" s="6">
        <v>4788841823.2734985</v>
      </c>
      <c r="K22" s="6">
        <v>4460951877.0672007</v>
      </c>
      <c r="L22" s="6">
        <v>4763887244.2072001</v>
      </c>
      <c r="M22" s="6">
        <v>4838562107.1356001</v>
      </c>
      <c r="N22" s="6">
        <v>5141497474.2755985</v>
      </c>
      <c r="O22" s="6">
        <v>4570034580.6685991</v>
      </c>
      <c r="P22" s="6">
        <v>4876918074.3785992</v>
      </c>
      <c r="Q22" s="6">
        <v>4768740185.0827999</v>
      </c>
      <c r="R22" s="6">
        <v>5075623678.7927999</v>
      </c>
      <c r="S22" s="6">
        <v>4615442748.1725006</v>
      </c>
      <c r="T22" s="6">
        <v>4922326241.8824997</v>
      </c>
      <c r="U22" s="6">
        <v>4803448263.2852001</v>
      </c>
      <c r="V22" s="6">
        <v>5110331756.9952002</v>
      </c>
      <c r="W22" s="6">
        <v>5063554875.3500004</v>
      </c>
      <c r="Y22" s="6">
        <v>4332575167.4904985</v>
      </c>
      <c r="Z22" s="6">
        <v>4639458661.2004995</v>
      </c>
      <c r="AA22" s="10">
        <f t="shared" si="0"/>
        <v>54600044808.144005</v>
      </c>
      <c r="AB22" s="11">
        <v>4881961005.7799997</v>
      </c>
      <c r="AC22" s="11">
        <f t="shared" si="1"/>
        <v>178431518.98086277</v>
      </c>
      <c r="AD22" s="13">
        <f t="shared" si="2"/>
        <v>15954120.933921568</v>
      </c>
    </row>
    <row r="23" spans="1:30" ht="18" customHeight="1" x14ac:dyDescent="0.35">
      <c r="A23" s="4">
        <v>22</v>
      </c>
      <c r="B23" s="5" t="s">
        <v>47</v>
      </c>
      <c r="C23" s="6">
        <v>4071805639.9974999</v>
      </c>
      <c r="D23" s="6">
        <v>4671867627.6875</v>
      </c>
      <c r="E23" s="6">
        <v>4119121212.1121001</v>
      </c>
      <c r="F23" s="6">
        <v>4719184772.6721001</v>
      </c>
      <c r="G23" s="6">
        <v>4038147502.4548998</v>
      </c>
      <c r="H23" s="6">
        <v>4637932090.0149002</v>
      </c>
      <c r="I23" s="6">
        <v>4389759254.6545</v>
      </c>
      <c r="J23" s="6">
        <v>5004822815.2145004</v>
      </c>
      <c r="K23" s="6">
        <v>4347044952.6309996</v>
      </c>
      <c r="L23" s="6">
        <v>4954608513.191</v>
      </c>
      <c r="M23" s="6">
        <v>4679699234.4954004</v>
      </c>
      <c r="N23" s="6">
        <v>5350499185.8654003</v>
      </c>
      <c r="O23" s="6">
        <v>4561986410.4328003</v>
      </c>
      <c r="P23" s="6">
        <v>5063814996.0028</v>
      </c>
      <c r="Q23" s="6">
        <v>4690527479.2153997</v>
      </c>
      <c r="R23" s="6">
        <v>5237838592.4854002</v>
      </c>
      <c r="S23" s="6">
        <v>4529454651.3740005</v>
      </c>
      <c r="T23" s="6">
        <v>5076765764.6440001</v>
      </c>
      <c r="U23" s="6">
        <v>4688206322.3334999</v>
      </c>
      <c r="V23" s="6">
        <v>5276234082.7135</v>
      </c>
      <c r="W23" s="6">
        <v>5050805791.4499998</v>
      </c>
      <c r="Y23" s="6">
        <v>4281770133.6082001</v>
      </c>
      <c r="Z23" s="6">
        <v>4829081246.8782005</v>
      </c>
      <c r="AA23" s="10">
        <f t="shared" si="0"/>
        <v>53448328584.759293</v>
      </c>
      <c r="AB23" s="11">
        <v>11334113743.549999</v>
      </c>
      <c r="AC23" s="11">
        <f t="shared" si="1"/>
        <v>174667740.47306958</v>
      </c>
      <c r="AD23" s="13">
        <f t="shared" si="2"/>
        <v>37039587.397222221</v>
      </c>
    </row>
    <row r="24" spans="1:30" ht="18" customHeight="1" x14ac:dyDescent="0.35">
      <c r="A24" s="4">
        <v>23</v>
      </c>
      <c r="B24" s="5" t="s">
        <v>48</v>
      </c>
      <c r="C24" s="6">
        <v>3481218905.3414998</v>
      </c>
      <c r="D24" s="6">
        <v>3867479847.2515001</v>
      </c>
      <c r="E24" s="6">
        <v>3561553082.8469</v>
      </c>
      <c r="F24" s="6">
        <v>3947814024.7568998</v>
      </c>
      <c r="G24" s="6">
        <v>3420452616.2417002</v>
      </c>
      <c r="H24" s="6">
        <v>3844898300.4317002</v>
      </c>
      <c r="I24" s="6">
        <v>3704038845.2272</v>
      </c>
      <c r="J24" s="6">
        <v>4128484529.4172001</v>
      </c>
      <c r="K24" s="6">
        <v>3647209373.9143</v>
      </c>
      <c r="L24" s="6">
        <v>4071655058.1043</v>
      </c>
      <c r="M24" s="6">
        <v>3965006053.3101001</v>
      </c>
      <c r="N24" s="6">
        <v>4404451737.5001001</v>
      </c>
      <c r="O24" s="6">
        <v>3720913343.4731002</v>
      </c>
      <c r="P24" s="6">
        <v>4154044061.7431002</v>
      </c>
      <c r="Q24" s="6">
        <v>3836004230.7136998</v>
      </c>
      <c r="R24" s="6">
        <v>4332371339.7936993</v>
      </c>
      <c r="S24" s="6">
        <v>3676877880.4169998</v>
      </c>
      <c r="T24" s="6">
        <v>4173244989.4970002</v>
      </c>
      <c r="U24" s="6">
        <v>3900900239.5577002</v>
      </c>
      <c r="V24" s="6">
        <v>4397267348.6377001</v>
      </c>
      <c r="W24" s="6">
        <v>4081333488.6700001</v>
      </c>
      <c r="Y24" s="6">
        <v>3478285729.2877998</v>
      </c>
      <c r="Z24" s="6">
        <v>3974652838.3678002</v>
      </c>
      <c r="AA24" s="10">
        <f t="shared" si="0"/>
        <v>44473793789.000992</v>
      </c>
      <c r="AB24" s="11">
        <v>23046944295.596001</v>
      </c>
      <c r="AC24" s="11">
        <f t="shared" si="1"/>
        <v>145339195.38889214</v>
      </c>
      <c r="AD24" s="13">
        <f t="shared" si="2"/>
        <v>75316811.423516348</v>
      </c>
    </row>
    <row r="25" spans="1:30" ht="18" customHeight="1" x14ac:dyDescent="0.35">
      <c r="A25" s="4">
        <v>24</v>
      </c>
      <c r="B25" s="5" t="s">
        <v>49</v>
      </c>
      <c r="C25" s="6">
        <v>10518857483.2621</v>
      </c>
      <c r="D25" s="6">
        <v>13367847068.4321</v>
      </c>
      <c r="E25" s="6">
        <v>9715434307.2743988</v>
      </c>
      <c r="F25" s="6">
        <v>12563278987.524401</v>
      </c>
      <c r="G25" s="6">
        <v>9102969051.7794991</v>
      </c>
      <c r="H25" s="6">
        <v>11950813732.029499</v>
      </c>
      <c r="I25" s="6">
        <v>9962540688.9491997</v>
      </c>
      <c r="J25" s="6">
        <v>12810385369.1992</v>
      </c>
      <c r="K25" s="6">
        <v>10470458560.372601</v>
      </c>
      <c r="L25" s="6">
        <v>13318303240.622601</v>
      </c>
      <c r="M25" s="6">
        <v>10456637641.3125</v>
      </c>
      <c r="N25" s="6">
        <v>13304482321.5625</v>
      </c>
      <c r="O25" s="6">
        <v>8634184269.1196995</v>
      </c>
      <c r="P25" s="6">
        <v>11610837815.679701</v>
      </c>
      <c r="Q25" s="6">
        <v>11403999835.711599</v>
      </c>
      <c r="R25" s="6">
        <v>15380653382.271601</v>
      </c>
      <c r="S25" s="6">
        <v>8635087980.2008991</v>
      </c>
      <c r="T25" s="6">
        <v>12611741526.7609</v>
      </c>
      <c r="U25" s="6">
        <v>10504392673.958099</v>
      </c>
      <c r="V25" s="6">
        <v>14481046220.518101</v>
      </c>
      <c r="W25" s="6">
        <v>9872203298.2199993</v>
      </c>
      <c r="Y25" s="6">
        <v>9749246009.5264015</v>
      </c>
      <c r="Z25" s="6">
        <v>13725899556.086399</v>
      </c>
      <c r="AA25" s="10">
        <f t="shared" si="0"/>
        <v>119026011799.687</v>
      </c>
      <c r="AB25" s="11">
        <v>382181548627.13</v>
      </c>
      <c r="AC25" s="11">
        <f t="shared" si="1"/>
        <v>388973894.77021897</v>
      </c>
      <c r="AD25" s="13">
        <f t="shared" si="2"/>
        <v>1248959309.238987</v>
      </c>
    </row>
    <row r="26" spans="1:30" ht="18" customHeight="1" x14ac:dyDescent="0.35">
      <c r="A26" s="4">
        <v>25</v>
      </c>
      <c r="B26" s="5" t="s">
        <v>50</v>
      </c>
      <c r="C26" s="6">
        <v>3668191486.3221011</v>
      </c>
      <c r="D26" s="6">
        <v>3922682127.8920999</v>
      </c>
      <c r="E26" s="6">
        <v>3723611794.2516999</v>
      </c>
      <c r="F26" s="6">
        <v>3978103555.1817002</v>
      </c>
      <c r="G26" s="6">
        <v>3650083051.5437999</v>
      </c>
      <c r="H26" s="6">
        <v>3904574812.4738002</v>
      </c>
      <c r="I26" s="6">
        <v>3929741893.1908998</v>
      </c>
      <c r="J26" s="6">
        <v>4184233654.1209002</v>
      </c>
      <c r="K26" s="6">
        <v>3872564755.1620998</v>
      </c>
      <c r="L26" s="6">
        <v>4127056516.0921001</v>
      </c>
      <c r="M26" s="6">
        <v>4226281262.9675999</v>
      </c>
      <c r="N26" s="6">
        <v>4480773023.8976002</v>
      </c>
      <c r="O26" s="6">
        <v>3966282080.7431998</v>
      </c>
      <c r="P26" s="6">
        <v>4228030520.3031998</v>
      </c>
      <c r="Q26" s="6">
        <v>4143282060.3095002</v>
      </c>
      <c r="R26" s="6">
        <v>4405030499.8695002</v>
      </c>
      <c r="S26" s="6">
        <v>3996674114.3053999</v>
      </c>
      <c r="T26" s="6">
        <v>4258422553.8653998</v>
      </c>
      <c r="U26" s="6">
        <v>4175353948.3800001</v>
      </c>
      <c r="V26" s="6">
        <v>4437102387.9400005</v>
      </c>
      <c r="W26" s="6">
        <v>4408491778.0500002</v>
      </c>
      <c r="Y26" s="6">
        <v>3799826509.4510002</v>
      </c>
      <c r="Z26" s="6">
        <v>4061574949.0110002</v>
      </c>
      <c r="AA26" s="10">
        <f t="shared" si="0"/>
        <v>47560384734.677307</v>
      </c>
      <c r="AB26" s="11">
        <v>7566920656.9099998</v>
      </c>
      <c r="AC26" s="11">
        <f t="shared" si="1"/>
        <v>155426093.90417421</v>
      </c>
      <c r="AD26" s="13">
        <f t="shared" si="2"/>
        <v>24728498.878790848</v>
      </c>
    </row>
    <row r="27" spans="1:30" ht="18" customHeight="1" x14ac:dyDescent="0.35">
      <c r="A27" s="4">
        <v>26</v>
      </c>
      <c r="B27" s="5" t="s">
        <v>51</v>
      </c>
      <c r="C27" s="6">
        <v>4403176638.3548002</v>
      </c>
      <c r="D27" s="6">
        <v>5007564038.2047997</v>
      </c>
      <c r="E27" s="6">
        <v>4464675934.691699</v>
      </c>
      <c r="F27" s="6">
        <v>5061990160.8916998</v>
      </c>
      <c r="G27" s="6">
        <v>4375511820.5317001</v>
      </c>
      <c r="H27" s="6">
        <v>4979027687.5216999</v>
      </c>
      <c r="I27" s="6">
        <v>4727992355.0368004</v>
      </c>
      <c r="J27" s="6">
        <v>5328853753.4267998</v>
      </c>
      <c r="K27" s="6">
        <v>4687288968.2791004</v>
      </c>
      <c r="L27" s="6">
        <v>5289893048.3491001</v>
      </c>
      <c r="M27" s="6">
        <v>5128420213.7038012</v>
      </c>
      <c r="N27" s="6">
        <v>5728335318.1037998</v>
      </c>
      <c r="O27" s="6">
        <v>4814407937.2940998</v>
      </c>
      <c r="P27" s="6">
        <v>5418024863.2540998</v>
      </c>
      <c r="Q27" s="6">
        <v>5022402405.0740995</v>
      </c>
      <c r="R27" s="6">
        <v>5625563437.5740995</v>
      </c>
      <c r="S27" s="6">
        <v>4846246487.2430992</v>
      </c>
      <c r="T27" s="6">
        <v>5446941766.323101</v>
      </c>
      <c r="U27" s="6">
        <v>5087920585.9841003</v>
      </c>
      <c r="V27" s="6">
        <v>5691818635.3041</v>
      </c>
      <c r="W27" s="6">
        <v>5385774406.54</v>
      </c>
      <c r="Y27" s="6">
        <v>4564266620.1104002</v>
      </c>
      <c r="Z27" s="6">
        <v>5165741479.0704002</v>
      </c>
      <c r="AA27" s="10">
        <f t="shared" si="0"/>
        <v>57508084372.843697</v>
      </c>
      <c r="AB27" s="11">
        <v>10432190956.630001</v>
      </c>
      <c r="AC27" s="11">
        <f t="shared" si="1"/>
        <v>187934916.25112319</v>
      </c>
      <c r="AD27" s="13">
        <f t="shared" si="2"/>
        <v>34092127.309248373</v>
      </c>
    </row>
    <row r="28" spans="1:30" ht="18" customHeight="1" x14ac:dyDescent="0.35">
      <c r="A28" s="4">
        <v>27</v>
      </c>
      <c r="B28" s="5" t="s">
        <v>52</v>
      </c>
      <c r="C28" s="6">
        <v>3020403348.1307998</v>
      </c>
      <c r="D28" s="6">
        <v>4223670339.4008002</v>
      </c>
      <c r="E28" s="6">
        <v>3312571052.7704</v>
      </c>
      <c r="F28" s="6">
        <v>4515838044.0403996</v>
      </c>
      <c r="G28" s="6">
        <v>2944600888.9129</v>
      </c>
      <c r="H28" s="6">
        <v>4147867880.1829</v>
      </c>
      <c r="I28" s="6">
        <v>3243451173.8564992</v>
      </c>
      <c r="J28" s="6">
        <v>4446718165.1264992</v>
      </c>
      <c r="K28" s="6">
        <v>3203526764.4552002</v>
      </c>
      <c r="L28" s="6">
        <v>4406793755.7251997</v>
      </c>
      <c r="M28" s="6">
        <v>3543635414.0272999</v>
      </c>
      <c r="N28" s="6">
        <v>4746902405.2973003</v>
      </c>
      <c r="O28" s="6">
        <v>3275046387.9724002</v>
      </c>
      <c r="P28" s="6">
        <v>4484850550.0623999</v>
      </c>
      <c r="Q28" s="6">
        <v>3499821420.7034001</v>
      </c>
      <c r="R28" s="6">
        <v>4709625582.7933998</v>
      </c>
      <c r="S28" s="6">
        <v>3280009346.678</v>
      </c>
      <c r="T28" s="6">
        <v>4489813508.7680006</v>
      </c>
      <c r="U28" s="6">
        <v>3521726117.8411999</v>
      </c>
      <c r="V28" s="6">
        <v>4731530279.9312</v>
      </c>
      <c r="W28" s="6">
        <v>3730389649.79</v>
      </c>
      <c r="Y28" s="6">
        <v>3166732152.3053002</v>
      </c>
      <c r="Z28" s="6">
        <v>4376536314.3952999</v>
      </c>
      <c r="AA28" s="10">
        <f t="shared" si="0"/>
        <v>39741913717.443398</v>
      </c>
      <c r="AB28" s="11">
        <v>84554199593.669998</v>
      </c>
      <c r="AC28" s="11">
        <f t="shared" si="1"/>
        <v>129875535.02432483</v>
      </c>
      <c r="AD28" s="13">
        <f t="shared" si="2"/>
        <v>276320913.70480394</v>
      </c>
    </row>
    <row r="29" spans="1:30" ht="18" customHeight="1" x14ac:dyDescent="0.35">
      <c r="A29" s="4">
        <v>28</v>
      </c>
      <c r="B29" s="5" t="s">
        <v>53</v>
      </c>
      <c r="C29" s="6">
        <v>5138977834.2248001</v>
      </c>
      <c r="D29" s="6">
        <v>5736245164.8048</v>
      </c>
      <c r="E29" s="6">
        <v>5288791220.2235994</v>
      </c>
      <c r="F29" s="6">
        <v>5886058550.8035994</v>
      </c>
      <c r="G29" s="6">
        <v>5061189151.9753008</v>
      </c>
      <c r="H29" s="6">
        <v>5658456482.5553007</v>
      </c>
      <c r="I29" s="6">
        <v>5142935799.5262003</v>
      </c>
      <c r="J29" s="6">
        <v>5740203130.1062002</v>
      </c>
      <c r="K29" s="6">
        <v>5479800580.2517004</v>
      </c>
      <c r="L29" s="6">
        <v>6077067910.8317003</v>
      </c>
      <c r="M29" s="6">
        <v>5306002818.2215996</v>
      </c>
      <c r="N29" s="6">
        <v>5903270148.8016005</v>
      </c>
      <c r="O29" s="6">
        <v>5521114192.7164993</v>
      </c>
      <c r="P29" s="6">
        <v>6131192136.7665005</v>
      </c>
      <c r="Q29" s="6">
        <v>5570487624.4243994</v>
      </c>
      <c r="R29" s="6">
        <v>6180565568.4743996</v>
      </c>
      <c r="S29" s="6">
        <v>5497541591.9161997</v>
      </c>
      <c r="T29" s="6">
        <v>6107619535.9661999</v>
      </c>
      <c r="U29" s="6">
        <v>5649122731.2101002</v>
      </c>
      <c r="V29" s="6">
        <v>6259200675.2601004</v>
      </c>
      <c r="W29" s="6">
        <v>6187155467.1599998</v>
      </c>
      <c r="Y29" s="6">
        <v>5154330527.6149006</v>
      </c>
      <c r="Z29" s="6">
        <v>5828007936.9849005</v>
      </c>
      <c r="AA29" s="10">
        <f t="shared" si="0"/>
        <v>64997449539.465286</v>
      </c>
      <c r="AB29" s="11">
        <v>24788059725.529999</v>
      </c>
      <c r="AC29" s="11">
        <f t="shared" si="1"/>
        <v>212409965.81524605</v>
      </c>
      <c r="AD29" s="13">
        <f t="shared" si="2"/>
        <v>81006731.129183009</v>
      </c>
    </row>
    <row r="30" spans="1:30" ht="18" customHeight="1" x14ac:dyDescent="0.35">
      <c r="A30" s="4">
        <v>29</v>
      </c>
      <c r="B30" s="5" t="s">
        <v>54</v>
      </c>
      <c r="C30" s="6">
        <v>1628225297.4089999</v>
      </c>
      <c r="D30" s="6">
        <v>4049865746.369</v>
      </c>
      <c r="E30" s="6">
        <v>1655115742.7211001</v>
      </c>
      <c r="F30" s="6">
        <v>4076756191.6810999</v>
      </c>
      <c r="G30" s="6">
        <v>1586152806.128</v>
      </c>
      <c r="H30" s="6">
        <v>4007793255.0879998</v>
      </c>
      <c r="I30" s="6">
        <v>1852841028.8013999</v>
      </c>
      <c r="J30" s="6">
        <v>4274481477.7614002</v>
      </c>
      <c r="K30" s="6">
        <v>1819209169.737</v>
      </c>
      <c r="L30" s="6">
        <v>4240849618.697</v>
      </c>
      <c r="M30" s="6">
        <v>2148490385.4457002</v>
      </c>
      <c r="N30" s="6">
        <v>4570130834.4057007</v>
      </c>
      <c r="O30" s="6">
        <v>1895901278.9667001</v>
      </c>
      <c r="P30" s="6">
        <v>4322568363.4566994</v>
      </c>
      <c r="Q30" s="6">
        <v>2121365156.9051001</v>
      </c>
      <c r="R30" s="6">
        <v>4548032241.3950996</v>
      </c>
      <c r="S30" s="6">
        <v>1925276284.7086999</v>
      </c>
      <c r="T30" s="6">
        <v>4351943369.1987</v>
      </c>
      <c r="U30" s="6">
        <v>2151079187.6462998</v>
      </c>
      <c r="V30" s="6">
        <v>4577746272.1363001</v>
      </c>
      <c r="W30" s="6">
        <v>2351825386.5900002</v>
      </c>
      <c r="Y30" s="6">
        <v>1730201728.8089001</v>
      </c>
      <c r="Z30" s="6">
        <v>4156868813.2989001</v>
      </c>
      <c r="AA30" s="10">
        <f t="shared" si="0"/>
        <v>22865683453.867901</v>
      </c>
      <c r="AB30" s="11">
        <v>10381663677.98</v>
      </c>
      <c r="AC30" s="11">
        <f t="shared" si="1"/>
        <v>74724455.731594443</v>
      </c>
      <c r="AD30" s="13">
        <f t="shared" si="2"/>
        <v>33927005.483594768</v>
      </c>
    </row>
    <row r="31" spans="1:30" ht="18" customHeight="1" x14ac:dyDescent="0.35">
      <c r="A31" s="4">
        <v>30</v>
      </c>
      <c r="B31" s="5" t="s">
        <v>55</v>
      </c>
      <c r="C31" s="6">
        <v>4580833571.5574007</v>
      </c>
      <c r="D31" s="6">
        <v>5203466423.0874004</v>
      </c>
      <c r="E31" s="6">
        <v>4607257544.8353996</v>
      </c>
      <c r="F31" s="6">
        <v>5229890396.3654003</v>
      </c>
      <c r="G31" s="6">
        <v>4540056135.5434999</v>
      </c>
      <c r="H31" s="6">
        <v>5162688987.0734997</v>
      </c>
      <c r="I31" s="6">
        <v>4885636842.2746</v>
      </c>
      <c r="J31" s="6">
        <v>5508269693.8045998</v>
      </c>
      <c r="K31" s="6">
        <v>4894994164.9933004</v>
      </c>
      <c r="L31" s="6">
        <v>5517627016.5233002</v>
      </c>
      <c r="M31" s="6">
        <v>5311538015.7339001</v>
      </c>
      <c r="N31" s="6">
        <v>5934170867.2639008</v>
      </c>
      <c r="O31" s="6">
        <v>4825762505.4550991</v>
      </c>
      <c r="P31" s="6">
        <v>5568760258.3750992</v>
      </c>
      <c r="Q31" s="6">
        <v>5167245220.5878</v>
      </c>
      <c r="R31" s="6">
        <v>5910242973.5078001</v>
      </c>
      <c r="S31" s="6">
        <v>4893480573.7796001</v>
      </c>
      <c r="T31" s="6">
        <v>5579790655.4696007</v>
      </c>
      <c r="U31" s="6">
        <v>5353009525.4572001</v>
      </c>
      <c r="V31" s="6">
        <v>6039319607.1472006</v>
      </c>
      <c r="W31" s="6">
        <v>5578234387.2200003</v>
      </c>
      <c r="Y31" s="6">
        <v>4787444997.1335001</v>
      </c>
      <c r="Z31" s="6">
        <v>5473755078.8234997</v>
      </c>
      <c r="AA31" s="10">
        <f t="shared" si="0"/>
        <v>59425493484.571304</v>
      </c>
      <c r="AB31" s="11">
        <v>24635074074.489998</v>
      </c>
      <c r="AC31" s="11">
        <f t="shared" si="1"/>
        <v>194200959.09990624</v>
      </c>
      <c r="AD31" s="13">
        <f t="shared" si="2"/>
        <v>80506778.021209151</v>
      </c>
    </row>
    <row r="32" spans="1:30" ht="18" customHeight="1" x14ac:dyDescent="0.35">
      <c r="A32" s="4">
        <v>31</v>
      </c>
      <c r="B32" s="5" t="s">
        <v>56</v>
      </c>
      <c r="C32" s="6">
        <v>3320457158.2898002</v>
      </c>
      <c r="D32" s="6">
        <v>4469995969.1997995</v>
      </c>
      <c r="E32" s="6">
        <v>3377624385.1801</v>
      </c>
      <c r="F32" s="6">
        <v>4527233058.0300999</v>
      </c>
      <c r="G32" s="6">
        <v>3300038626.5735002</v>
      </c>
      <c r="H32" s="6">
        <v>4449577437.4834995</v>
      </c>
      <c r="I32" s="6">
        <v>3586351585.1472001</v>
      </c>
      <c r="J32" s="6">
        <v>4735890396.0572004</v>
      </c>
      <c r="K32" s="6">
        <v>3562965513.1135001</v>
      </c>
      <c r="L32" s="6">
        <v>4712504324.0234985</v>
      </c>
      <c r="M32" s="6">
        <v>3936487484.6125002</v>
      </c>
      <c r="N32" s="6">
        <v>5086026295.5225</v>
      </c>
      <c r="O32" s="6">
        <v>3661458078.6922998</v>
      </c>
      <c r="P32" s="6">
        <v>4813886139.822299</v>
      </c>
      <c r="Q32" s="6">
        <v>3892165610.3024998</v>
      </c>
      <c r="R32" s="6">
        <v>5044593671.4324999</v>
      </c>
      <c r="S32" s="6">
        <v>3688106599.7779999</v>
      </c>
      <c r="T32" s="6">
        <v>4840534660.908</v>
      </c>
      <c r="U32" s="6">
        <v>3939001573.3427</v>
      </c>
      <c r="V32" s="6">
        <v>5091429634.4727001</v>
      </c>
      <c r="W32" s="6">
        <v>4169351044.1599998</v>
      </c>
      <c r="Y32" s="6">
        <v>3438782043.0426998</v>
      </c>
      <c r="Z32" s="6">
        <v>4591210104.1726999</v>
      </c>
      <c r="AA32" s="10">
        <f t="shared" si="0"/>
        <v>43872789702.234795</v>
      </c>
      <c r="AB32" s="11">
        <v>12726479548.41</v>
      </c>
      <c r="AC32" s="11">
        <f t="shared" si="1"/>
        <v>143375129.74586535</v>
      </c>
      <c r="AD32" s="13">
        <f t="shared" si="2"/>
        <v>41589802.445784315</v>
      </c>
    </row>
    <row r="33" spans="1:30" ht="18" customHeight="1" x14ac:dyDescent="0.35">
      <c r="A33" s="4">
        <v>32</v>
      </c>
      <c r="B33" s="5" t="s">
        <v>57</v>
      </c>
      <c r="C33" s="6">
        <v>13998244651.516199</v>
      </c>
      <c r="D33" s="6">
        <v>15321519964.7862</v>
      </c>
      <c r="E33" s="6">
        <v>15040037176.072599</v>
      </c>
      <c r="F33" s="6">
        <v>16363109189.982599</v>
      </c>
      <c r="G33" s="6">
        <v>14719368485.924299</v>
      </c>
      <c r="H33" s="6">
        <v>16042440499.834299</v>
      </c>
      <c r="I33" s="6">
        <v>13585555408.760599</v>
      </c>
      <c r="J33" s="6">
        <v>14908627422.670601</v>
      </c>
      <c r="K33" s="6">
        <v>13954845617.1861</v>
      </c>
      <c r="L33" s="6">
        <v>15277917631.0961</v>
      </c>
      <c r="M33" s="6">
        <v>12684785074.4275</v>
      </c>
      <c r="N33" s="6">
        <v>14007857088.3375</v>
      </c>
      <c r="O33" s="6">
        <v>14146859820.4312</v>
      </c>
      <c r="P33" s="6">
        <v>15075840591.2012</v>
      </c>
      <c r="Q33" s="6">
        <v>14808431843.2038</v>
      </c>
      <c r="R33" s="6">
        <v>15737412613.973801</v>
      </c>
      <c r="S33" s="6">
        <v>14924202782.630301</v>
      </c>
      <c r="T33" s="6">
        <v>15853183553.400299</v>
      </c>
      <c r="U33" s="6">
        <v>15373940384.399401</v>
      </c>
      <c r="V33" s="6">
        <v>16302921155.169399</v>
      </c>
      <c r="W33" s="6">
        <v>15679242727.74</v>
      </c>
      <c r="Y33" s="6">
        <v>12214955216.599001</v>
      </c>
      <c r="Z33" s="6">
        <v>13143935987.368999</v>
      </c>
      <c r="AA33" s="10">
        <f t="shared" si="0"/>
        <v>171130469188.89099</v>
      </c>
      <c r="AB33" s="11">
        <v>112780373912.23001</v>
      </c>
      <c r="AC33" s="11">
        <f t="shared" si="1"/>
        <v>559249899.31010127</v>
      </c>
      <c r="AD33" s="13">
        <f t="shared" si="2"/>
        <v>368563313.43866014</v>
      </c>
    </row>
    <row r="34" spans="1:30" ht="18" customHeight="1" x14ac:dyDescent="0.35">
      <c r="A34" s="4">
        <v>33</v>
      </c>
      <c r="B34" s="5" t="s">
        <v>58</v>
      </c>
      <c r="C34" s="6">
        <v>4091045628.6237988</v>
      </c>
      <c r="D34" s="6">
        <v>4699760092.8638</v>
      </c>
      <c r="E34" s="6">
        <v>4135483450.1192002</v>
      </c>
      <c r="F34" s="6">
        <v>4744247695.6492004</v>
      </c>
      <c r="G34" s="6">
        <v>4050616820.1069989</v>
      </c>
      <c r="H34" s="6">
        <v>4659381065.6370001</v>
      </c>
      <c r="I34" s="6">
        <v>4386143993.2523003</v>
      </c>
      <c r="J34" s="6">
        <v>4994908238.7823</v>
      </c>
      <c r="K34" s="6">
        <v>4343834949.8713999</v>
      </c>
      <c r="L34" s="6">
        <v>4952599195.4013996</v>
      </c>
      <c r="M34" s="6">
        <v>4763941729.004899</v>
      </c>
      <c r="N34" s="6">
        <v>5372705974.5348997</v>
      </c>
      <c r="O34" s="6">
        <v>4455287218.3973007</v>
      </c>
      <c r="P34" s="6">
        <v>5067941100.5473003</v>
      </c>
      <c r="Q34" s="6">
        <v>4944096647.3857002</v>
      </c>
      <c r="R34" s="6">
        <v>5259415508.5157003</v>
      </c>
      <c r="S34" s="6">
        <v>4775959108.2818012</v>
      </c>
      <c r="T34" s="6">
        <v>5091277969.4118004</v>
      </c>
      <c r="U34" s="6">
        <v>5001336119.0712996</v>
      </c>
      <c r="V34" s="6">
        <v>5316654980.2012997</v>
      </c>
      <c r="W34" s="6">
        <v>5300938480.8199997</v>
      </c>
      <c r="Y34" s="6">
        <v>4532156090.6036997</v>
      </c>
      <c r="Z34" s="6">
        <v>4847474951.7336998</v>
      </c>
      <c r="AA34" s="10">
        <f t="shared" si="0"/>
        <v>54780840235.538391</v>
      </c>
      <c r="AB34" s="11">
        <v>18762009020.049999</v>
      </c>
      <c r="AC34" s="11">
        <f t="shared" si="1"/>
        <v>179022353.71090978</v>
      </c>
      <c r="AD34" s="13">
        <f t="shared" si="2"/>
        <v>61313754.967483655</v>
      </c>
    </row>
    <row r="35" spans="1:30" ht="18" customHeight="1" x14ac:dyDescent="0.35">
      <c r="A35" s="4">
        <v>34</v>
      </c>
      <c r="B35" s="5" t="s">
        <v>59</v>
      </c>
      <c r="C35" s="6">
        <v>3645200096.7349</v>
      </c>
      <c r="D35" s="6">
        <v>4109418678.0049</v>
      </c>
      <c r="E35" s="6">
        <v>3682129695.7073998</v>
      </c>
      <c r="F35" s="6">
        <v>4146348276.9773998</v>
      </c>
      <c r="G35" s="6">
        <v>3635862743.1065998</v>
      </c>
      <c r="H35" s="6">
        <v>4100081324.3765998</v>
      </c>
      <c r="I35" s="6">
        <v>3887354209.1602988</v>
      </c>
      <c r="J35" s="6">
        <v>4351572790.4302998</v>
      </c>
      <c r="K35" s="6">
        <v>3869230495.7711</v>
      </c>
      <c r="L35" s="6">
        <v>4333449077.0410995</v>
      </c>
      <c r="M35" s="6">
        <v>4312255869.1595001</v>
      </c>
      <c r="N35" s="6">
        <v>4685104965.8695002</v>
      </c>
      <c r="O35" s="6">
        <v>4055946067.6186991</v>
      </c>
      <c r="P35" s="6">
        <v>4434568761.3086996</v>
      </c>
      <c r="Q35" s="6">
        <v>4222436712.1725001</v>
      </c>
      <c r="R35" s="6">
        <v>4601059405.8625002</v>
      </c>
      <c r="S35" s="6">
        <v>4082617266.3708</v>
      </c>
      <c r="T35" s="6">
        <v>4461239960.0608006</v>
      </c>
      <c r="U35" s="6">
        <v>4252273738.3797998</v>
      </c>
      <c r="V35" s="6">
        <v>4630896432.0697994</v>
      </c>
      <c r="W35" s="6">
        <v>4458400900.1499996</v>
      </c>
      <c r="Y35" s="6">
        <v>3796768844.7245002</v>
      </c>
      <c r="Z35" s="6">
        <v>4220854938.3245001</v>
      </c>
      <c r="AA35" s="10">
        <f t="shared" si="0"/>
        <v>47900476639.056107</v>
      </c>
      <c r="AB35" s="11">
        <v>5968809583.1100006</v>
      </c>
      <c r="AC35" s="11">
        <f t="shared" si="1"/>
        <v>156537505.3563925</v>
      </c>
      <c r="AD35" s="13">
        <f t="shared" si="2"/>
        <v>19505913.670294121</v>
      </c>
    </row>
    <row r="36" spans="1:30" ht="18" customHeight="1" x14ac:dyDescent="0.35">
      <c r="A36" s="4">
        <v>35</v>
      </c>
      <c r="B36" s="5" t="s">
        <v>60</v>
      </c>
      <c r="C36" s="6">
        <v>4095312917.0500998</v>
      </c>
      <c r="D36" s="6">
        <v>4218646826.2600999</v>
      </c>
      <c r="E36" s="6">
        <v>4129661260.0478001</v>
      </c>
      <c r="F36" s="6">
        <v>4253044951.4177999</v>
      </c>
      <c r="G36" s="6">
        <v>4072448512.4179001</v>
      </c>
      <c r="H36" s="6">
        <v>4195832203.7879</v>
      </c>
      <c r="I36" s="6">
        <v>4357461830.3950005</v>
      </c>
      <c r="J36" s="6">
        <v>4480845521.7649994</v>
      </c>
      <c r="K36" s="6">
        <v>4328384291.5827999</v>
      </c>
      <c r="L36" s="6">
        <v>4451767982.9528008</v>
      </c>
      <c r="M36" s="6">
        <v>4688665153.1546001</v>
      </c>
      <c r="N36" s="6">
        <v>4812048844.5246</v>
      </c>
      <c r="O36" s="6">
        <v>4427062326.5409002</v>
      </c>
      <c r="P36" s="6">
        <v>4553745646.3409004</v>
      </c>
      <c r="Q36" s="6">
        <v>4609191886.9140997</v>
      </c>
      <c r="R36" s="6">
        <v>4735875206.7140999</v>
      </c>
      <c r="S36" s="6">
        <v>4449966299.0071001</v>
      </c>
      <c r="T36" s="6">
        <v>4576649618.8071003</v>
      </c>
      <c r="U36" s="6">
        <v>4624704745.7957001</v>
      </c>
      <c r="V36" s="6">
        <v>4751388065.5957003</v>
      </c>
      <c r="W36" s="6">
        <v>4890267758.4200001</v>
      </c>
      <c r="Y36" s="6">
        <v>4247188075.1795998</v>
      </c>
      <c r="Z36" s="6">
        <v>4373871394.9796</v>
      </c>
      <c r="AA36" s="10">
        <f t="shared" si="0"/>
        <v>52920315056.5056</v>
      </c>
      <c r="AB36" s="11">
        <v>4382259456.0500002</v>
      </c>
      <c r="AC36" s="11">
        <f t="shared" si="1"/>
        <v>172942206.06701177</v>
      </c>
      <c r="AD36" s="13">
        <f t="shared" si="2"/>
        <v>14321109.333496733</v>
      </c>
    </row>
    <row r="37" spans="1:30" ht="18" customHeight="1" x14ac:dyDescent="0.35">
      <c r="A37" s="4">
        <v>36</v>
      </c>
      <c r="B37" s="5" t="s">
        <v>61</v>
      </c>
      <c r="C37" s="6">
        <v>3010973682.0978999</v>
      </c>
      <c r="D37" s="6">
        <v>4302114408.1679001</v>
      </c>
      <c r="E37" s="6">
        <v>3053555849.0971999</v>
      </c>
      <c r="F37" s="6">
        <v>4344696575.1672001</v>
      </c>
      <c r="G37" s="6">
        <v>2969824214.0254002</v>
      </c>
      <c r="H37" s="6">
        <v>4260964940.0953999</v>
      </c>
      <c r="I37" s="6">
        <v>3266448563.5798001</v>
      </c>
      <c r="J37" s="6">
        <v>4557589289.6498003</v>
      </c>
      <c r="K37" s="6">
        <v>3234058774.513</v>
      </c>
      <c r="L37" s="6">
        <v>4525199500.5830002</v>
      </c>
      <c r="M37" s="6">
        <v>3603073551.9791002</v>
      </c>
      <c r="N37" s="6">
        <v>4894214278.0490999</v>
      </c>
      <c r="O37" s="6">
        <v>3322882689.7927999</v>
      </c>
      <c r="P37" s="6">
        <v>4620253099.0827999</v>
      </c>
      <c r="Q37" s="6">
        <v>3780405122.1666002</v>
      </c>
      <c r="R37" s="6">
        <v>4815421101.1465998</v>
      </c>
      <c r="S37" s="6">
        <v>3603974317.4349999</v>
      </c>
      <c r="T37" s="6">
        <v>4638990296.415</v>
      </c>
      <c r="U37" s="6">
        <v>3813212760.9032998</v>
      </c>
      <c r="V37" s="6">
        <v>4848228739.8832998</v>
      </c>
      <c r="W37" s="6">
        <v>4064922954.8699999</v>
      </c>
      <c r="Y37" s="6">
        <v>3382924356.7803998</v>
      </c>
      <c r="Z37" s="6">
        <v>4417940335.7603998</v>
      </c>
      <c r="AA37" s="10">
        <f t="shared" si="0"/>
        <v>41106256837.240509</v>
      </c>
      <c r="AB37" s="11">
        <v>8206695592.1400013</v>
      </c>
      <c r="AC37" s="11">
        <f t="shared" si="1"/>
        <v>134334172.67072061</v>
      </c>
      <c r="AD37" s="13">
        <f t="shared" si="2"/>
        <v>26819266.640980396</v>
      </c>
    </row>
    <row r="38" spans="1:30" ht="18" customHeight="1" x14ac:dyDescent="0.35">
      <c r="A38" s="7">
        <v>37</v>
      </c>
      <c r="B38" s="8" t="s">
        <v>62</v>
      </c>
      <c r="C38" s="9">
        <v>5624792607.5383987</v>
      </c>
      <c r="D38" s="9"/>
      <c r="E38" s="9">
        <v>5718179148.7510004</v>
      </c>
      <c r="F38" s="9"/>
      <c r="G38" s="9">
        <v>5630508665.3628988</v>
      </c>
      <c r="H38" s="9"/>
      <c r="I38" s="9">
        <v>6046731439.0375004</v>
      </c>
      <c r="J38" s="9"/>
      <c r="K38" s="9">
        <v>5962183294.8556004</v>
      </c>
      <c r="L38" s="9"/>
      <c r="M38" s="9">
        <v>6529063599.3519993</v>
      </c>
      <c r="N38" s="9"/>
      <c r="O38" s="9">
        <v>6171334708.5295</v>
      </c>
      <c r="P38" s="9"/>
      <c r="Q38" s="9">
        <v>6280226249.5342007</v>
      </c>
      <c r="R38" s="9"/>
      <c r="S38" s="9">
        <v>6201526136.7269011</v>
      </c>
      <c r="T38" s="9"/>
      <c r="U38" s="9">
        <v>6376361022.1655998</v>
      </c>
      <c r="V38" s="9"/>
      <c r="W38" s="6">
        <v>6795986085.8299999</v>
      </c>
      <c r="Y38" s="9">
        <v>5820420350.2580996</v>
      </c>
      <c r="Z38" s="9"/>
      <c r="AA38" s="10">
        <f t="shared" si="0"/>
        <v>73157313307.941696</v>
      </c>
      <c r="AB38" s="11">
        <v>65519663654.820007</v>
      </c>
      <c r="AC38" s="11">
        <f t="shared" si="1"/>
        <v>239076187.28085521</v>
      </c>
      <c r="AD38" s="13">
        <f t="shared" si="2"/>
        <v>214116547.89156866</v>
      </c>
    </row>
    <row r="39" spans="1:30" x14ac:dyDescent="0.3">
      <c r="AA39" s="10">
        <f>SUM(AA2:AA38)</f>
        <v>2565722147158.1523</v>
      </c>
      <c r="AC39" s="11">
        <f t="shared" si="1"/>
        <v>8384712899.2096481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topLeftCell="T19" workbookViewId="0">
      <selection activeCell="AA40" sqref="AA40"/>
    </sheetView>
  </sheetViews>
  <sheetFormatPr defaultRowHeight="14.4" x14ac:dyDescent="0.3"/>
  <cols>
    <col min="1" max="1" width="6" customWidth="1"/>
    <col min="2" max="26" width="18" customWidth="1"/>
    <col min="27" max="27" width="20.5546875" customWidth="1"/>
    <col min="28" max="28" width="20.88671875" customWidth="1"/>
    <col min="29" max="29" width="14.6640625" bestFit="1" customWidth="1"/>
    <col min="30" max="30" width="17.88671875" customWidth="1"/>
  </cols>
  <sheetData>
    <row r="1" spans="1:30" ht="24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66</v>
      </c>
      <c r="AB1" s="3" t="s">
        <v>67</v>
      </c>
      <c r="AC1" s="3" t="s">
        <v>185</v>
      </c>
      <c r="AD1" s="3" t="s">
        <v>186</v>
      </c>
    </row>
    <row r="2" spans="1:30" ht="18" customHeight="1" x14ac:dyDescent="0.35">
      <c r="A2" s="4">
        <v>1</v>
      </c>
      <c r="B2" s="5" t="s">
        <v>26</v>
      </c>
      <c r="C2" s="6">
        <v>4449976257.5924006</v>
      </c>
      <c r="D2" s="6">
        <v>4920545222.0124006</v>
      </c>
      <c r="E2" s="6">
        <v>4173312483.553</v>
      </c>
      <c r="F2" s="6">
        <v>4645334813.0030003</v>
      </c>
      <c r="G2" s="6">
        <v>4149077138.6118999</v>
      </c>
      <c r="H2" s="6">
        <v>4621099468.0619001</v>
      </c>
      <c r="I2" s="6">
        <v>4095616677.1760998</v>
      </c>
      <c r="J2" s="6">
        <v>4567639006.6260996</v>
      </c>
      <c r="K2" s="6">
        <v>4444074569.5190001</v>
      </c>
      <c r="L2" s="6">
        <v>4916096898.9689999</v>
      </c>
      <c r="M2" s="6">
        <v>4822019037.2904015</v>
      </c>
      <c r="N2" s="6">
        <v>5267924508.5504007</v>
      </c>
      <c r="O2" s="6">
        <v>4570196228.7178001</v>
      </c>
      <c r="P2" s="6">
        <v>5195502409.2477999</v>
      </c>
      <c r="Q2" s="6">
        <v>4350747536.3166008</v>
      </c>
      <c r="R2" s="6">
        <v>5208282242.8766003</v>
      </c>
      <c r="S2" s="6">
        <v>4257840748.558001</v>
      </c>
      <c r="T2" s="6">
        <v>5042700864.7779999</v>
      </c>
      <c r="U2" s="6">
        <v>4380980231.3611002</v>
      </c>
      <c r="V2" s="6">
        <v>5165840347.5811005</v>
      </c>
      <c r="W2" s="6">
        <v>4048468175.2684999</v>
      </c>
      <c r="X2" s="6">
        <v>4833328291.4884996</v>
      </c>
      <c r="Y2" s="6">
        <v>4332596336.1935015</v>
      </c>
      <c r="Z2" s="6">
        <v>5117456452.4134998</v>
      </c>
      <c r="AA2" s="10">
        <f>SUM(C2,E2,G2,I2,K2,M2,O2,Q2,S2,U2,W2,Y2)</f>
        <v>52074905420.15831</v>
      </c>
      <c r="AB2" s="11">
        <v>15499929260.76</v>
      </c>
      <c r="AC2" s="11">
        <f>AA2/306</f>
        <v>170179429.47764152</v>
      </c>
      <c r="AD2" s="13">
        <f>AB2/306</f>
        <v>50653363.597254902</v>
      </c>
    </row>
    <row r="3" spans="1:30" ht="18" customHeight="1" x14ac:dyDescent="0.35">
      <c r="A3" s="4">
        <v>2</v>
      </c>
      <c r="B3" s="5" t="s">
        <v>27</v>
      </c>
      <c r="C3" s="6">
        <v>4027134128.8825002</v>
      </c>
      <c r="D3" s="6">
        <v>4540905253.1424999</v>
      </c>
      <c r="E3" s="6">
        <v>3736851139.8727999</v>
      </c>
      <c r="F3" s="6">
        <v>4237161129.7328</v>
      </c>
      <c r="G3" s="6">
        <v>3692683349.4682999</v>
      </c>
      <c r="H3" s="6">
        <v>4192993339.3283</v>
      </c>
      <c r="I3" s="6">
        <v>3699672900.1076002</v>
      </c>
      <c r="J3" s="6">
        <v>4180238420.5675998</v>
      </c>
      <c r="K3" s="6">
        <v>4200663786.6784</v>
      </c>
      <c r="L3" s="6">
        <v>4661484837.7384005</v>
      </c>
      <c r="M3" s="6">
        <v>4559688548.6037006</v>
      </c>
      <c r="N3" s="6">
        <v>5020509599.6637001</v>
      </c>
      <c r="O3" s="6">
        <v>4311927461.9111996</v>
      </c>
      <c r="P3" s="6">
        <v>4772748512.9712</v>
      </c>
      <c r="Q3" s="6">
        <v>4166470424.6662998</v>
      </c>
      <c r="R3" s="6">
        <v>4861319844.7863007</v>
      </c>
      <c r="S3" s="6">
        <v>4060520464.3822999</v>
      </c>
      <c r="T3" s="6">
        <v>4682695294.1623001</v>
      </c>
      <c r="U3" s="6">
        <v>4189004084.6082001</v>
      </c>
      <c r="V3" s="6">
        <v>4811178914.3881998</v>
      </c>
      <c r="W3" s="6">
        <v>3789882301.7047</v>
      </c>
      <c r="X3" s="6">
        <v>4412057131.4847002</v>
      </c>
      <c r="Y3" s="6">
        <v>4137391871.0983</v>
      </c>
      <c r="Z3" s="6">
        <v>4759566700.8782997</v>
      </c>
      <c r="AA3" s="10">
        <f t="shared" ref="AA3:AA38" si="0">SUM(C3,E3,G3,I3,K3,M3,O3,Q3,S3,U3,W3,Y3)</f>
        <v>48571890461.984291</v>
      </c>
      <c r="AB3" s="11">
        <v>9704650185.4200001</v>
      </c>
      <c r="AC3" s="11">
        <f t="shared" ref="AC3:AC39" si="1">AA3/306</f>
        <v>158731668.17641926</v>
      </c>
      <c r="AD3" s="13">
        <f t="shared" ref="AD3:AD38" si="2">AB3/306</f>
        <v>31714543.089607842</v>
      </c>
    </row>
    <row r="4" spans="1:30" ht="18" customHeight="1" x14ac:dyDescent="0.35">
      <c r="A4" s="4">
        <v>3</v>
      </c>
      <c r="B4" s="5" t="s">
        <v>28</v>
      </c>
      <c r="C4" s="6">
        <v>14513722253.254601</v>
      </c>
      <c r="D4" s="6">
        <v>15676786363.454599</v>
      </c>
      <c r="E4" s="6">
        <v>15319797818.860901</v>
      </c>
      <c r="F4" s="6">
        <v>16386920235.130899</v>
      </c>
      <c r="G4" s="6">
        <v>14750827946.259501</v>
      </c>
      <c r="H4" s="6">
        <v>15817950362.529499</v>
      </c>
      <c r="I4" s="6">
        <v>14060495671.301701</v>
      </c>
      <c r="J4" s="6">
        <v>15127618087.571699</v>
      </c>
      <c r="K4" s="6">
        <v>13207559635.827499</v>
      </c>
      <c r="L4" s="6">
        <v>14274682052.0975</v>
      </c>
      <c r="M4" s="6">
        <v>12997645754.045</v>
      </c>
      <c r="N4" s="6">
        <v>14064768170.315001</v>
      </c>
      <c r="O4" s="6">
        <v>14912830213.5961</v>
      </c>
      <c r="P4" s="6">
        <v>15979952629.8661</v>
      </c>
      <c r="Q4" s="6">
        <v>14061108720.282801</v>
      </c>
      <c r="R4" s="6">
        <v>15388682769.202801</v>
      </c>
      <c r="S4" s="6">
        <v>14875461992.4151</v>
      </c>
      <c r="T4" s="6">
        <v>16130361450.9951</v>
      </c>
      <c r="U4" s="6">
        <v>14046323570.9221</v>
      </c>
      <c r="V4" s="6">
        <v>15327300593.062099</v>
      </c>
      <c r="W4" s="6">
        <v>14772806184.706699</v>
      </c>
      <c r="X4" s="6">
        <v>16053783206.846701</v>
      </c>
      <c r="Y4" s="6">
        <v>15112298251.031799</v>
      </c>
      <c r="Z4" s="6">
        <v>16393275273.171801</v>
      </c>
      <c r="AA4" s="10">
        <f t="shared" si="0"/>
        <v>172630878012.50378</v>
      </c>
      <c r="AB4" s="11">
        <v>35504936358</v>
      </c>
      <c r="AC4" s="11">
        <f t="shared" si="1"/>
        <v>564153196.11929345</v>
      </c>
      <c r="AD4" s="13">
        <f t="shared" si="2"/>
        <v>116029203.78431372</v>
      </c>
    </row>
    <row r="5" spans="1:30" ht="18" customHeight="1" x14ac:dyDescent="0.35">
      <c r="A5" s="4">
        <v>4</v>
      </c>
      <c r="B5" s="5" t="s">
        <v>29</v>
      </c>
      <c r="C5" s="6">
        <v>4515913293.5184994</v>
      </c>
      <c r="D5" s="6">
        <v>4652729996.7684994</v>
      </c>
      <c r="E5" s="6">
        <v>4226591519.4324999</v>
      </c>
      <c r="F5" s="6">
        <v>4371470640.8625002</v>
      </c>
      <c r="G5" s="6">
        <v>4176833643.682199</v>
      </c>
      <c r="H5" s="6">
        <v>4321712765.1121998</v>
      </c>
      <c r="I5" s="6">
        <v>4145654356.191</v>
      </c>
      <c r="J5" s="6">
        <v>4290533477.6209998</v>
      </c>
      <c r="K5" s="6">
        <v>4683738299.6135998</v>
      </c>
      <c r="L5" s="6">
        <v>4828617421.0436001</v>
      </c>
      <c r="M5" s="6">
        <v>5009886274.1641998</v>
      </c>
      <c r="N5" s="6">
        <v>5154765395.5942001</v>
      </c>
      <c r="O5" s="6">
        <v>4753528964.0367994</v>
      </c>
      <c r="P5" s="6">
        <v>4898408085.4667997</v>
      </c>
      <c r="Q5" s="6">
        <v>4622226537.1422997</v>
      </c>
      <c r="R5" s="6">
        <v>4986238217.3823004</v>
      </c>
      <c r="S5" s="6">
        <v>4481144496.4141998</v>
      </c>
      <c r="T5" s="6">
        <v>4772481586.3141994</v>
      </c>
      <c r="U5" s="6">
        <v>4622709751.1408005</v>
      </c>
      <c r="V5" s="6">
        <v>4914046841.0408001</v>
      </c>
      <c r="W5" s="6">
        <v>4241135152.7142</v>
      </c>
      <c r="X5" s="6">
        <v>4532472242.6141996</v>
      </c>
      <c r="Y5" s="6">
        <v>4599144726.0760994</v>
      </c>
      <c r="Z5" s="6">
        <v>4890481815.9761</v>
      </c>
      <c r="AA5" s="10">
        <f t="shared" si="0"/>
        <v>54078507014.126404</v>
      </c>
      <c r="AB5" s="11">
        <v>26369195864.889999</v>
      </c>
      <c r="AC5" s="11">
        <f t="shared" si="1"/>
        <v>176727147.10498825</v>
      </c>
      <c r="AD5" s="13">
        <f t="shared" si="2"/>
        <v>86173842.695718959</v>
      </c>
    </row>
    <row r="6" spans="1:30" ht="18" customHeight="1" x14ac:dyDescent="0.35">
      <c r="A6" s="4">
        <v>5</v>
      </c>
      <c r="B6" s="5" t="s">
        <v>30</v>
      </c>
      <c r="C6" s="6">
        <v>4592033053.8355999</v>
      </c>
      <c r="D6" s="6">
        <v>5379476375.0056</v>
      </c>
      <c r="E6" s="6">
        <v>4184299930.6216998</v>
      </c>
      <c r="F6" s="6">
        <v>5025955674.4117002</v>
      </c>
      <c r="G6" s="6">
        <v>3900146871.4355998</v>
      </c>
      <c r="H6" s="6">
        <v>4977009511.7655993</v>
      </c>
      <c r="I6" s="6">
        <v>3893684440.3575001</v>
      </c>
      <c r="J6" s="6">
        <v>4970547082.6875</v>
      </c>
      <c r="K6" s="6">
        <v>4468170848.7524996</v>
      </c>
      <c r="L6" s="6">
        <v>5545033490.0825005</v>
      </c>
      <c r="M6" s="6">
        <v>4877536541.724699</v>
      </c>
      <c r="N6" s="6">
        <v>5954399183.0546999</v>
      </c>
      <c r="O6" s="6">
        <v>4595190425.5720015</v>
      </c>
      <c r="P6" s="6">
        <v>5672053066.9020004</v>
      </c>
      <c r="Q6" s="6">
        <v>4599018013.8335991</v>
      </c>
      <c r="R6" s="6">
        <v>5892044105.2436008</v>
      </c>
      <c r="S6" s="6">
        <v>4316898494.5628996</v>
      </c>
      <c r="T6" s="6">
        <v>5558782547.9629002</v>
      </c>
      <c r="U6" s="6">
        <v>4467159115.4971008</v>
      </c>
      <c r="V6" s="6">
        <v>5709043168.8971004</v>
      </c>
      <c r="W6" s="6">
        <v>3992608201.1687002</v>
      </c>
      <c r="X6" s="6">
        <v>5234492254.5686998</v>
      </c>
      <c r="Y6" s="6">
        <v>4402932228.7968998</v>
      </c>
      <c r="Z6" s="6">
        <v>5644816282.1968994</v>
      </c>
      <c r="AA6" s="10">
        <f t="shared" si="0"/>
        <v>52289678166.158798</v>
      </c>
      <c r="AB6" s="11">
        <v>12293318938.860001</v>
      </c>
      <c r="AC6" s="11">
        <f t="shared" si="1"/>
        <v>170881301.19659737</v>
      </c>
      <c r="AD6" s="13">
        <f t="shared" si="2"/>
        <v>40174244.898235299</v>
      </c>
    </row>
    <row r="7" spans="1:30" ht="18" customHeight="1" x14ac:dyDescent="0.35">
      <c r="A7" s="4">
        <v>6</v>
      </c>
      <c r="B7" s="5" t="s">
        <v>31</v>
      </c>
      <c r="C7" s="6">
        <v>11614714237.3619</v>
      </c>
      <c r="D7" s="6">
        <v>13162573511.6919</v>
      </c>
      <c r="E7" s="6">
        <v>11635572869.3745</v>
      </c>
      <c r="F7" s="6">
        <v>13182344279.504499</v>
      </c>
      <c r="G7" s="6">
        <v>11144225128.1106</v>
      </c>
      <c r="H7" s="6">
        <v>12690996538.240601</v>
      </c>
      <c r="I7" s="6">
        <v>10392154207.9258</v>
      </c>
      <c r="J7" s="6">
        <v>11938925618.055799</v>
      </c>
      <c r="K7" s="6">
        <v>10238316669.938101</v>
      </c>
      <c r="L7" s="6">
        <v>11785088080.0681</v>
      </c>
      <c r="M7" s="6">
        <v>10464117101.814301</v>
      </c>
      <c r="N7" s="6">
        <v>11589341848.7243</v>
      </c>
      <c r="O7" s="6">
        <v>13401555969.5126</v>
      </c>
      <c r="P7" s="6">
        <v>14526780716.4226</v>
      </c>
      <c r="Q7" s="6">
        <v>12813309380.4552</v>
      </c>
      <c r="R7" s="6">
        <v>14167617557.495199</v>
      </c>
      <c r="S7" s="6">
        <v>13066338260.6203</v>
      </c>
      <c r="T7" s="6">
        <v>14614638513.9603</v>
      </c>
      <c r="U7" s="6">
        <v>12391704880.091999</v>
      </c>
      <c r="V7" s="6">
        <v>13940005133.452</v>
      </c>
      <c r="W7" s="6">
        <v>12237553749.678301</v>
      </c>
      <c r="X7" s="6">
        <v>13706396578.108299</v>
      </c>
      <c r="Y7" s="6">
        <v>12665730974.733801</v>
      </c>
      <c r="Z7" s="6">
        <v>14134573803.163799</v>
      </c>
      <c r="AA7" s="10">
        <f t="shared" si="0"/>
        <v>142065293429.6174</v>
      </c>
      <c r="AB7" s="11">
        <v>16342762532</v>
      </c>
      <c r="AC7" s="11">
        <f t="shared" si="1"/>
        <v>464265664.80267125</v>
      </c>
      <c r="AD7" s="13">
        <f t="shared" si="2"/>
        <v>53407720.692810461</v>
      </c>
    </row>
    <row r="8" spans="1:30" ht="18" customHeight="1" x14ac:dyDescent="0.35">
      <c r="A8" s="4">
        <v>7</v>
      </c>
      <c r="B8" s="5" t="s">
        <v>32</v>
      </c>
      <c r="C8" s="6">
        <v>4516226264.5753002</v>
      </c>
      <c r="D8" s="6">
        <v>5070514713.3052998</v>
      </c>
      <c r="E8" s="6">
        <v>4176322279.2124</v>
      </c>
      <c r="F8" s="6">
        <v>4729119142.3924007</v>
      </c>
      <c r="G8" s="6">
        <v>4143767934.3634992</v>
      </c>
      <c r="H8" s="6">
        <v>4696564797.5434999</v>
      </c>
      <c r="I8" s="6">
        <v>4128248900.8192</v>
      </c>
      <c r="J8" s="6">
        <v>4681045763.9991999</v>
      </c>
      <c r="K8" s="6">
        <v>4672613626.8986998</v>
      </c>
      <c r="L8" s="6">
        <v>5225410490.0787001</v>
      </c>
      <c r="M8" s="6">
        <v>5068772351.9221001</v>
      </c>
      <c r="N8" s="6">
        <v>5621569215.1021004</v>
      </c>
      <c r="O8" s="6">
        <v>4867770782.4421005</v>
      </c>
      <c r="P8" s="6">
        <v>5362507333.4221001</v>
      </c>
      <c r="Q8" s="6">
        <v>4735693538.3021002</v>
      </c>
      <c r="R8" s="6">
        <v>5456123221.0320997</v>
      </c>
      <c r="S8" s="6">
        <v>4593530793.6154003</v>
      </c>
      <c r="T8" s="6">
        <v>5241285886.0053997</v>
      </c>
      <c r="U8" s="6">
        <v>4744096644.0874996</v>
      </c>
      <c r="V8" s="6">
        <v>5391851736.4775009</v>
      </c>
      <c r="W8" s="6">
        <v>4287837936.8037992</v>
      </c>
      <c r="X8" s="6">
        <v>4935593029.193799</v>
      </c>
      <c r="Y8" s="6">
        <v>4686689599.7679005</v>
      </c>
      <c r="Z8" s="6">
        <v>5334444692.1578999</v>
      </c>
      <c r="AA8" s="10">
        <f t="shared" si="0"/>
        <v>54621570652.810005</v>
      </c>
      <c r="AB8" s="11">
        <v>17179638193.959999</v>
      </c>
      <c r="AC8" s="11">
        <f t="shared" si="1"/>
        <v>178501864.87846407</v>
      </c>
      <c r="AD8" s="13">
        <f t="shared" si="2"/>
        <v>56142608.476993464</v>
      </c>
    </row>
    <row r="9" spans="1:30" ht="18" customHeight="1" x14ac:dyDescent="0.35">
      <c r="A9" s="4">
        <v>8</v>
      </c>
      <c r="B9" s="5" t="s">
        <v>33</v>
      </c>
      <c r="C9" s="6">
        <v>5137573218.2560997</v>
      </c>
      <c r="D9" s="6">
        <v>5478461495.9761</v>
      </c>
      <c r="E9" s="6">
        <v>4779133761.8032999</v>
      </c>
      <c r="F9" s="6">
        <v>5120706854.8533001</v>
      </c>
      <c r="G9" s="6">
        <v>4744897092.8327007</v>
      </c>
      <c r="H9" s="6">
        <v>5086470185.8827</v>
      </c>
      <c r="I9" s="6">
        <v>4713494910.1858006</v>
      </c>
      <c r="J9" s="6">
        <v>5055068003.2357998</v>
      </c>
      <c r="K9" s="6">
        <v>5307251612.2931995</v>
      </c>
      <c r="L9" s="6">
        <v>5648824705.3431997</v>
      </c>
      <c r="M9" s="6">
        <v>5743781461.7722998</v>
      </c>
      <c r="N9" s="6">
        <v>6085354554.8223</v>
      </c>
      <c r="O9" s="6">
        <v>5469237931.7854996</v>
      </c>
      <c r="P9" s="6">
        <v>5810811024.8355007</v>
      </c>
      <c r="Q9" s="6">
        <v>5381479674.1142998</v>
      </c>
      <c r="R9" s="6">
        <v>5946775273.8743</v>
      </c>
      <c r="S9" s="6">
        <v>5202081780.3309002</v>
      </c>
      <c r="T9" s="6">
        <v>5694702789.7509003</v>
      </c>
      <c r="U9" s="6">
        <v>5339629619.6513996</v>
      </c>
      <c r="V9" s="6">
        <v>5832250629.0714006</v>
      </c>
      <c r="W9" s="6">
        <v>4863533457.0997</v>
      </c>
      <c r="X9" s="6">
        <v>5356154466.5197001</v>
      </c>
      <c r="Y9" s="6">
        <v>5289004355.2580004</v>
      </c>
      <c r="Z9" s="6">
        <v>5781625364.6779985</v>
      </c>
      <c r="AA9" s="10">
        <f t="shared" si="0"/>
        <v>61971098875.383202</v>
      </c>
      <c r="AB9" s="11">
        <v>8175248326</v>
      </c>
      <c r="AC9" s="11">
        <f t="shared" si="1"/>
        <v>202519930.96530458</v>
      </c>
      <c r="AD9" s="13">
        <f t="shared" si="2"/>
        <v>26716497.797385622</v>
      </c>
    </row>
    <row r="10" spans="1:30" ht="18" customHeight="1" x14ac:dyDescent="0.35">
      <c r="A10" s="4">
        <v>9</v>
      </c>
      <c r="B10" s="5" t="s">
        <v>34</v>
      </c>
      <c r="C10" s="6">
        <v>2944301804.7561998</v>
      </c>
      <c r="D10" s="6">
        <v>4521188091.8062</v>
      </c>
      <c r="E10" s="6">
        <v>2717521308.8736</v>
      </c>
      <c r="F10" s="6">
        <v>4238375730.063601</v>
      </c>
      <c r="G10" s="6">
        <v>2734889284.4691</v>
      </c>
      <c r="H10" s="6">
        <v>4187216592.2391</v>
      </c>
      <c r="I10" s="6">
        <v>2721652592.4808002</v>
      </c>
      <c r="J10" s="6">
        <v>4173979900.2508001</v>
      </c>
      <c r="K10" s="6">
        <v>3209701314.7617998</v>
      </c>
      <c r="L10" s="6">
        <v>4662028622.5318003</v>
      </c>
      <c r="M10" s="6">
        <v>3560007210.5806999</v>
      </c>
      <c r="N10" s="6">
        <v>5012334518.3507004</v>
      </c>
      <c r="O10" s="6">
        <v>3330431211.256299</v>
      </c>
      <c r="P10" s="6">
        <v>4782758519.0262995</v>
      </c>
      <c r="Q10" s="6">
        <v>3153126159.4717989</v>
      </c>
      <c r="R10" s="6">
        <v>4876643528.4217997</v>
      </c>
      <c r="S10" s="6">
        <v>3035651633.0265999</v>
      </c>
      <c r="T10" s="6">
        <v>4686494411.6365995</v>
      </c>
      <c r="U10" s="6">
        <v>3221482692.2441001</v>
      </c>
      <c r="V10" s="6">
        <v>4872325470.8541002</v>
      </c>
      <c r="W10" s="6">
        <v>2775420180.9134998</v>
      </c>
      <c r="X10" s="6">
        <v>4426262959.5235004</v>
      </c>
      <c r="Y10" s="6">
        <v>3096210672.4232998</v>
      </c>
      <c r="Z10" s="6">
        <v>4747053451.0332994</v>
      </c>
      <c r="AA10" s="10">
        <f t="shared" si="0"/>
        <v>36500396065.257797</v>
      </c>
      <c r="AB10" s="11">
        <v>22597063982.549999</v>
      </c>
      <c r="AC10" s="11">
        <f t="shared" si="1"/>
        <v>119282340.08254182</v>
      </c>
      <c r="AD10" s="13">
        <f t="shared" si="2"/>
        <v>73846614.322058827</v>
      </c>
    </row>
    <row r="11" spans="1:30" ht="18" customHeight="1" x14ac:dyDescent="0.35">
      <c r="A11" s="4">
        <v>10</v>
      </c>
      <c r="B11" s="5" t="s">
        <v>35</v>
      </c>
      <c r="C11" s="6">
        <v>18672329315.0243</v>
      </c>
      <c r="D11" s="6">
        <v>19845858333.4743</v>
      </c>
      <c r="E11" s="6">
        <v>19152147572.531898</v>
      </c>
      <c r="F11" s="6">
        <v>20323308904.581902</v>
      </c>
      <c r="G11" s="6">
        <v>19315169766.327702</v>
      </c>
      <c r="H11" s="6">
        <v>20486331098.377701</v>
      </c>
      <c r="I11" s="6">
        <v>18271814325.612099</v>
      </c>
      <c r="J11" s="6">
        <v>19442975657.662102</v>
      </c>
      <c r="K11" s="6">
        <v>15925319672.5189</v>
      </c>
      <c r="L11" s="6">
        <v>17184901493.078899</v>
      </c>
      <c r="M11" s="6">
        <v>16717018341.9566</v>
      </c>
      <c r="N11" s="6">
        <v>17976600162.516602</v>
      </c>
      <c r="O11" s="6">
        <v>19847722035.6833</v>
      </c>
      <c r="P11" s="6">
        <v>21107303856.243301</v>
      </c>
      <c r="Q11" s="6">
        <v>18319598165.856701</v>
      </c>
      <c r="R11" s="6">
        <v>19805490379.516701</v>
      </c>
      <c r="S11" s="6">
        <v>18742640475.5368</v>
      </c>
      <c r="T11" s="6">
        <v>20155858098.8568</v>
      </c>
      <c r="U11" s="6">
        <v>18143768905.469501</v>
      </c>
      <c r="V11" s="6">
        <v>19556986528.789501</v>
      </c>
      <c r="W11" s="6">
        <v>18814724840.552299</v>
      </c>
      <c r="X11" s="6">
        <v>20227942463.872299</v>
      </c>
      <c r="Y11" s="6">
        <v>18090969730.310799</v>
      </c>
      <c r="Z11" s="6">
        <v>19504187353.630798</v>
      </c>
      <c r="AA11" s="10">
        <f t="shared" si="0"/>
        <v>220013223147.38092</v>
      </c>
      <c r="AB11" s="11">
        <v>64678796991.57</v>
      </c>
      <c r="AC11" s="11">
        <f t="shared" si="1"/>
        <v>718997461.26595068</v>
      </c>
      <c r="AD11" s="13">
        <f t="shared" si="2"/>
        <v>211368617.61950982</v>
      </c>
    </row>
    <row r="12" spans="1:30" ht="18" customHeight="1" x14ac:dyDescent="0.35">
      <c r="A12" s="4">
        <v>11</v>
      </c>
      <c r="B12" s="5" t="s">
        <v>36</v>
      </c>
      <c r="C12" s="6">
        <v>3652960454.2905998</v>
      </c>
      <c r="D12" s="6">
        <v>4075587950.7874999</v>
      </c>
      <c r="E12" s="6">
        <v>3395234388.0696001</v>
      </c>
      <c r="F12" s="6">
        <v>3815834384.9085002</v>
      </c>
      <c r="G12" s="6">
        <v>3383984107.3938999</v>
      </c>
      <c r="H12" s="6">
        <v>3803070630.8755999</v>
      </c>
      <c r="I12" s="6">
        <v>3512337248.1904001</v>
      </c>
      <c r="J12" s="6">
        <v>3756371638.348</v>
      </c>
      <c r="K12" s="6">
        <v>3833014417.8210001</v>
      </c>
      <c r="L12" s="6">
        <v>4205019507.9131999</v>
      </c>
      <c r="M12" s="6">
        <v>4198784676.4363999</v>
      </c>
      <c r="N12" s="6">
        <v>4511514116.6037998</v>
      </c>
      <c r="O12" s="6">
        <v>4006573612.9896002</v>
      </c>
      <c r="P12" s="6">
        <v>4318401056.8285999</v>
      </c>
      <c r="Q12" s="6">
        <v>3853777803.223299</v>
      </c>
      <c r="R12" s="6">
        <v>4395220918.5713997</v>
      </c>
      <c r="S12" s="6">
        <v>3745626760.6199002</v>
      </c>
      <c r="T12" s="6">
        <v>4213470416.2708001</v>
      </c>
      <c r="U12" s="6">
        <v>3899514588.9021001</v>
      </c>
      <c r="V12" s="6">
        <v>4366896092.8771</v>
      </c>
      <c r="W12" s="6">
        <v>3545177960.3878999</v>
      </c>
      <c r="X12" s="6">
        <v>4007069272.1963</v>
      </c>
      <c r="Y12" s="6">
        <v>3860537524.3031001</v>
      </c>
      <c r="Z12" s="6">
        <v>4327349158.7951002</v>
      </c>
      <c r="AA12" s="10">
        <f t="shared" si="0"/>
        <v>44887523542.627808</v>
      </c>
      <c r="AB12" s="11">
        <v>9823523851.8400002</v>
      </c>
      <c r="AC12" s="11">
        <f t="shared" si="1"/>
        <v>146691253.40728042</v>
      </c>
      <c r="AD12" s="13">
        <f t="shared" si="2"/>
        <v>32103019.123660132</v>
      </c>
    </row>
    <row r="13" spans="1:30" ht="18" customHeight="1" x14ac:dyDescent="0.35">
      <c r="A13" s="4">
        <v>12</v>
      </c>
      <c r="B13" s="5" t="s">
        <v>37</v>
      </c>
      <c r="C13" s="6">
        <v>5533630478.4934006</v>
      </c>
      <c r="D13" s="6">
        <v>6130691855.2334003</v>
      </c>
      <c r="E13" s="6">
        <v>5314570602.4426994</v>
      </c>
      <c r="F13" s="6">
        <v>5919988547.6626997</v>
      </c>
      <c r="G13" s="6">
        <v>5192002256.6919994</v>
      </c>
      <c r="H13" s="6">
        <v>5797420201.9120007</v>
      </c>
      <c r="I13" s="6">
        <v>5102001098.4196997</v>
      </c>
      <c r="J13" s="6">
        <v>5707419043.6396999</v>
      </c>
      <c r="K13" s="6">
        <v>5336916595.2905998</v>
      </c>
      <c r="L13" s="6">
        <v>5942334540.5106001</v>
      </c>
      <c r="M13" s="6">
        <v>5479197879.7001991</v>
      </c>
      <c r="N13" s="6">
        <v>6084615824.9201994</v>
      </c>
      <c r="O13" s="6">
        <v>5638160610.8338985</v>
      </c>
      <c r="P13" s="6">
        <v>6243578556.0538998</v>
      </c>
      <c r="Q13" s="6">
        <v>5600307640.6560011</v>
      </c>
      <c r="R13" s="6">
        <v>6419675523.4760008</v>
      </c>
      <c r="S13" s="6">
        <v>5463856349.5868006</v>
      </c>
      <c r="T13" s="6">
        <v>6210549642.0668001</v>
      </c>
      <c r="U13" s="6">
        <v>5534068209.9174004</v>
      </c>
      <c r="V13" s="6">
        <v>6280761502.3973999</v>
      </c>
      <c r="W13" s="6">
        <v>5099181264.1273994</v>
      </c>
      <c r="X13" s="6">
        <v>5845874556.6074009</v>
      </c>
      <c r="Y13" s="6">
        <v>5455510480.5147009</v>
      </c>
      <c r="Z13" s="6">
        <v>6202203772.9947004</v>
      </c>
      <c r="AA13" s="10">
        <f t="shared" si="0"/>
        <v>64749403466.674797</v>
      </c>
      <c r="AB13" s="11">
        <v>35227994863.089996</v>
      </c>
      <c r="AC13" s="11">
        <f t="shared" si="1"/>
        <v>211599357.73423135</v>
      </c>
      <c r="AD13" s="13">
        <f t="shared" si="2"/>
        <v>115124166.21924835</v>
      </c>
    </row>
    <row r="14" spans="1:30" ht="18" customHeight="1" x14ac:dyDescent="0.35">
      <c r="A14" s="4">
        <v>13</v>
      </c>
      <c r="B14" s="5" t="s">
        <v>38</v>
      </c>
      <c r="C14" s="6">
        <v>3465406749.6103988</v>
      </c>
      <c r="D14" s="6">
        <v>4087026333.5503998</v>
      </c>
      <c r="E14" s="6">
        <v>3192216010.8309002</v>
      </c>
      <c r="F14" s="6">
        <v>3815994019.2609</v>
      </c>
      <c r="G14" s="6">
        <v>3168659374.7651</v>
      </c>
      <c r="H14" s="6">
        <v>3792437383.1950998</v>
      </c>
      <c r="I14" s="6">
        <v>3121178192.9955001</v>
      </c>
      <c r="J14" s="6">
        <v>3786068701.4254999</v>
      </c>
      <c r="K14" s="6">
        <v>3603563025.9533</v>
      </c>
      <c r="L14" s="6">
        <v>4227341034.3832998</v>
      </c>
      <c r="M14" s="6">
        <v>3897047925.4833002</v>
      </c>
      <c r="N14" s="6">
        <v>4520825933.9133015</v>
      </c>
      <c r="O14" s="6">
        <v>3657582490.3580999</v>
      </c>
      <c r="P14" s="6">
        <v>4322472998.7881002</v>
      </c>
      <c r="Q14" s="6">
        <v>3546641018.6480999</v>
      </c>
      <c r="R14" s="6">
        <v>4385366139.5080996</v>
      </c>
      <c r="S14" s="6">
        <v>3460418705.1869001</v>
      </c>
      <c r="T14" s="6">
        <v>4226469235.7069001</v>
      </c>
      <c r="U14" s="6">
        <v>3541124817.1265998</v>
      </c>
      <c r="V14" s="6">
        <v>4348287847.6465998</v>
      </c>
      <c r="W14" s="6">
        <v>3212620930.9478002</v>
      </c>
      <c r="X14" s="6">
        <v>3978671461.4678001</v>
      </c>
      <c r="Y14" s="6">
        <v>3519856242.6526999</v>
      </c>
      <c r="Z14" s="6">
        <v>4285906773.1726999</v>
      </c>
      <c r="AA14" s="10">
        <f t="shared" si="0"/>
        <v>41386315484.558701</v>
      </c>
      <c r="AB14" s="11">
        <v>15374717873.6</v>
      </c>
      <c r="AC14" s="11">
        <f t="shared" si="1"/>
        <v>135249397.00836176</v>
      </c>
      <c r="AD14" s="13">
        <f t="shared" si="2"/>
        <v>50244176.057516344</v>
      </c>
    </row>
    <row r="15" spans="1:30" ht="18" customHeight="1" x14ac:dyDescent="0.35">
      <c r="A15" s="4">
        <v>14</v>
      </c>
      <c r="B15" s="5" t="s">
        <v>39</v>
      </c>
      <c r="C15" s="6">
        <v>4357366044.4258003</v>
      </c>
      <c r="D15" s="6">
        <v>4614364704.6957998</v>
      </c>
      <c r="E15" s="6">
        <v>4039216779.9742999</v>
      </c>
      <c r="F15" s="6">
        <v>4319667681.3443003</v>
      </c>
      <c r="G15" s="6">
        <v>3982537528.6229</v>
      </c>
      <c r="H15" s="6">
        <v>4262988429.9928999</v>
      </c>
      <c r="I15" s="6">
        <v>3968244429.8903999</v>
      </c>
      <c r="J15" s="6">
        <v>4248695331.2603998</v>
      </c>
      <c r="K15" s="6">
        <v>4448600785.2615995</v>
      </c>
      <c r="L15" s="6">
        <v>4729051686.6316004</v>
      </c>
      <c r="M15" s="6">
        <v>4853253678.6160002</v>
      </c>
      <c r="N15" s="6">
        <v>5133704579.9860001</v>
      </c>
      <c r="O15" s="6">
        <v>4675390969.1647997</v>
      </c>
      <c r="P15" s="6">
        <v>4955841870.5347996</v>
      </c>
      <c r="Q15" s="6">
        <v>4537403370.8880997</v>
      </c>
      <c r="R15" s="6">
        <v>5035624031.0681</v>
      </c>
      <c r="S15" s="6">
        <v>4351150139.1576004</v>
      </c>
      <c r="T15" s="6">
        <v>4776696208.9976006</v>
      </c>
      <c r="U15" s="6">
        <v>4484360778.3036985</v>
      </c>
      <c r="V15" s="6">
        <v>4909906848.1436996</v>
      </c>
      <c r="W15" s="6">
        <v>4069870865.099</v>
      </c>
      <c r="X15" s="6">
        <v>4495416934.9390001</v>
      </c>
      <c r="Y15" s="6">
        <v>4455166613.5328999</v>
      </c>
      <c r="Z15" s="6">
        <v>4880712683.3729</v>
      </c>
      <c r="AA15" s="10">
        <f t="shared" si="0"/>
        <v>52222561982.937096</v>
      </c>
      <c r="AB15" s="11">
        <v>31142963302</v>
      </c>
      <c r="AC15" s="11">
        <f t="shared" si="1"/>
        <v>170661967.26450032</v>
      </c>
      <c r="AD15" s="13">
        <f t="shared" si="2"/>
        <v>101774389.875817</v>
      </c>
    </row>
    <row r="16" spans="1:30" ht="18" customHeight="1" x14ac:dyDescent="0.35">
      <c r="A16" s="4">
        <v>15</v>
      </c>
      <c r="B16" s="5" t="s">
        <v>40</v>
      </c>
      <c r="C16" s="6">
        <v>3426646389.9898</v>
      </c>
      <c r="D16" s="6">
        <v>4245434155.4197998</v>
      </c>
      <c r="E16" s="6">
        <v>3166406233.7124009</v>
      </c>
      <c r="F16" s="6">
        <v>3978693200.9024</v>
      </c>
      <c r="G16" s="6">
        <v>3113281166.8292999</v>
      </c>
      <c r="H16" s="6">
        <v>3925568134.0193</v>
      </c>
      <c r="I16" s="6">
        <v>3104688765.804801</v>
      </c>
      <c r="J16" s="6">
        <v>3916975732.9948001</v>
      </c>
      <c r="K16" s="6">
        <v>3562354122.4421</v>
      </c>
      <c r="L16" s="6">
        <v>4374641089.6321001</v>
      </c>
      <c r="M16" s="6">
        <v>3883566822.4668002</v>
      </c>
      <c r="N16" s="6">
        <v>4695853789.6568003</v>
      </c>
      <c r="O16" s="6">
        <v>3671971670.9419999</v>
      </c>
      <c r="P16" s="6">
        <v>4484258638.132</v>
      </c>
      <c r="Q16" s="6">
        <v>3547188436.5093999</v>
      </c>
      <c r="R16" s="6">
        <v>4585017860.2393999</v>
      </c>
      <c r="S16" s="6">
        <v>3445532501.3849001</v>
      </c>
      <c r="T16" s="6">
        <v>4410687334.7749004</v>
      </c>
      <c r="U16" s="6">
        <v>3590766226.0274</v>
      </c>
      <c r="V16" s="6">
        <v>4555921059.4174004</v>
      </c>
      <c r="W16" s="6">
        <v>3175862700.0686998</v>
      </c>
      <c r="X16" s="6">
        <v>4141017533.4587002</v>
      </c>
      <c r="Y16" s="6">
        <v>3566826501.2344999</v>
      </c>
      <c r="Z16" s="6">
        <v>4531981334.6245003</v>
      </c>
      <c r="AA16" s="10">
        <f t="shared" si="0"/>
        <v>41255091537.412102</v>
      </c>
      <c r="AB16" s="11">
        <v>6832026079.5</v>
      </c>
      <c r="AC16" s="11">
        <f t="shared" si="1"/>
        <v>134820560.57977811</v>
      </c>
      <c r="AD16" s="13">
        <f t="shared" si="2"/>
        <v>22326882.612745099</v>
      </c>
    </row>
    <row r="17" spans="1:30" ht="18" customHeight="1" x14ac:dyDescent="0.35">
      <c r="A17" s="4">
        <v>16</v>
      </c>
      <c r="B17" s="5" t="s">
        <v>41</v>
      </c>
      <c r="C17" s="6">
        <v>4614653604.1440001</v>
      </c>
      <c r="D17" s="6">
        <v>5558659910.6140003</v>
      </c>
      <c r="E17" s="6">
        <v>4335571985.1349001</v>
      </c>
      <c r="F17" s="6">
        <v>5278360768.6049004</v>
      </c>
      <c r="G17" s="6">
        <v>4307694025.4545002</v>
      </c>
      <c r="H17" s="6">
        <v>5250482808.9245005</v>
      </c>
      <c r="I17" s="6">
        <v>4332718771.1013994</v>
      </c>
      <c r="J17" s="6">
        <v>5275507554.5713997</v>
      </c>
      <c r="K17" s="6">
        <v>4729233570.5864992</v>
      </c>
      <c r="L17" s="6">
        <v>5672022354.0564985</v>
      </c>
      <c r="M17" s="6">
        <v>4934573063.5265999</v>
      </c>
      <c r="N17" s="6">
        <v>5877361846.9966002</v>
      </c>
      <c r="O17" s="6">
        <v>4969818546.9702997</v>
      </c>
      <c r="P17" s="6">
        <v>5912607330.4403</v>
      </c>
      <c r="Q17" s="6">
        <v>4809917034.4629011</v>
      </c>
      <c r="R17" s="6">
        <v>5943489552.1429005</v>
      </c>
      <c r="S17" s="6">
        <v>4894598068.6386013</v>
      </c>
      <c r="T17" s="6">
        <v>5955495995.9786015</v>
      </c>
      <c r="U17" s="6">
        <v>4963310212.4721003</v>
      </c>
      <c r="V17" s="6">
        <v>6024208139.8120995</v>
      </c>
      <c r="W17" s="6">
        <v>4651429990.3656998</v>
      </c>
      <c r="X17" s="6">
        <v>5712327917.7057009</v>
      </c>
      <c r="Y17" s="6">
        <v>4963760985.4483004</v>
      </c>
      <c r="Z17" s="6">
        <v>6024658912.7882996</v>
      </c>
      <c r="AA17" s="10">
        <f t="shared" si="0"/>
        <v>56507279858.305801</v>
      </c>
      <c r="AB17" s="11">
        <v>6182963983.46</v>
      </c>
      <c r="AC17" s="11">
        <f t="shared" si="1"/>
        <v>184664313.26243725</v>
      </c>
      <c r="AD17" s="13">
        <f t="shared" si="2"/>
        <v>20205764.651830066</v>
      </c>
    </row>
    <row r="18" spans="1:30" ht="18" customHeight="1" x14ac:dyDescent="0.35">
      <c r="A18" s="4">
        <v>17</v>
      </c>
      <c r="B18" s="5" t="s">
        <v>42</v>
      </c>
      <c r="C18" s="6">
        <v>4965333278.3929005</v>
      </c>
      <c r="D18" s="6">
        <v>5158179643.3929005</v>
      </c>
      <c r="E18" s="6">
        <v>4599433575.0016003</v>
      </c>
      <c r="F18" s="6">
        <v>4789772343.3616009</v>
      </c>
      <c r="G18" s="6">
        <v>4548742385.3544998</v>
      </c>
      <c r="H18" s="6">
        <v>4739081153.7144995</v>
      </c>
      <c r="I18" s="6">
        <v>4517584630.1355991</v>
      </c>
      <c r="J18" s="6">
        <v>4707923398.4955997</v>
      </c>
      <c r="K18" s="6">
        <v>5082347728.9013996</v>
      </c>
      <c r="L18" s="6">
        <v>5272686497.2614002</v>
      </c>
      <c r="M18" s="6">
        <v>5460912286.1336002</v>
      </c>
      <c r="N18" s="6">
        <v>5651251054.4935999</v>
      </c>
      <c r="O18" s="6">
        <v>5185786599.0212994</v>
      </c>
      <c r="P18" s="6">
        <v>5376125367.3813</v>
      </c>
      <c r="Q18" s="6">
        <v>5074675445.3806</v>
      </c>
      <c r="R18" s="6">
        <v>5491489488.3606005</v>
      </c>
      <c r="S18" s="6">
        <v>4921304666.1358004</v>
      </c>
      <c r="T18" s="6">
        <v>5265444118.7757998</v>
      </c>
      <c r="U18" s="6">
        <v>5067291839.5184002</v>
      </c>
      <c r="V18" s="6">
        <v>5411431292.1583996</v>
      </c>
      <c r="W18" s="6">
        <v>4607824758.7040997</v>
      </c>
      <c r="X18" s="6">
        <v>4951964211.3441</v>
      </c>
      <c r="Y18" s="6">
        <v>5039723333.2338009</v>
      </c>
      <c r="Z18" s="6">
        <v>5383862785.8738003</v>
      </c>
      <c r="AA18" s="10">
        <f t="shared" si="0"/>
        <v>59070960525.913605</v>
      </c>
      <c r="AB18" s="11">
        <v>12926658146.290001</v>
      </c>
      <c r="AC18" s="11">
        <f t="shared" si="1"/>
        <v>193042354.65984839</v>
      </c>
      <c r="AD18" s="13">
        <f t="shared" si="2"/>
        <v>42243980.87022876</v>
      </c>
    </row>
    <row r="19" spans="1:30" ht="18" customHeight="1" x14ac:dyDescent="0.35">
      <c r="A19" s="4">
        <v>18</v>
      </c>
      <c r="B19" s="5" t="s">
        <v>43</v>
      </c>
      <c r="C19" s="6">
        <v>5635275866.7493</v>
      </c>
      <c r="D19" s="6">
        <v>6049403550.3793001</v>
      </c>
      <c r="E19" s="6">
        <v>5179019461.2309008</v>
      </c>
      <c r="F19" s="6">
        <v>5598365122.3709002</v>
      </c>
      <c r="G19" s="6">
        <v>5157493308.5018997</v>
      </c>
      <c r="H19" s="6">
        <v>5576838969.6418991</v>
      </c>
      <c r="I19" s="6">
        <v>5110309555.9612007</v>
      </c>
      <c r="J19" s="6">
        <v>5529655217.1012001</v>
      </c>
      <c r="K19" s="6">
        <v>5765068083.3254004</v>
      </c>
      <c r="L19" s="6">
        <v>6184413744.4653997</v>
      </c>
      <c r="M19" s="6">
        <v>6234692725.3751993</v>
      </c>
      <c r="N19" s="6">
        <v>6654038386.5151997</v>
      </c>
      <c r="O19" s="6">
        <v>5958636053.633399</v>
      </c>
      <c r="P19" s="6">
        <v>6377981714.7733994</v>
      </c>
      <c r="Q19" s="6">
        <v>5785719240.7011995</v>
      </c>
      <c r="R19" s="6">
        <v>6426938774.6411991</v>
      </c>
      <c r="S19" s="6">
        <v>5624472392.2684002</v>
      </c>
      <c r="T19" s="6">
        <v>6193017335.8684006</v>
      </c>
      <c r="U19" s="6">
        <v>5800218488.0430002</v>
      </c>
      <c r="V19" s="6">
        <v>6368763431.6430006</v>
      </c>
      <c r="W19" s="6">
        <v>5321363049.8556004</v>
      </c>
      <c r="X19" s="6">
        <v>5889907993.4556007</v>
      </c>
      <c r="Y19" s="6">
        <v>6069037703.6622992</v>
      </c>
      <c r="Z19" s="6">
        <v>6637582647.2622995</v>
      </c>
      <c r="AA19" s="10">
        <f t="shared" si="0"/>
        <v>67641305929.3078</v>
      </c>
      <c r="AB19" s="11">
        <v>44956576583.379997</v>
      </c>
      <c r="AC19" s="11">
        <f t="shared" si="1"/>
        <v>221050019.37682289</v>
      </c>
      <c r="AD19" s="13">
        <f t="shared" si="2"/>
        <v>146916916.9391503</v>
      </c>
    </row>
    <row r="20" spans="1:30" ht="18" customHeight="1" x14ac:dyDescent="0.35">
      <c r="A20" s="4">
        <v>19</v>
      </c>
      <c r="B20" s="5" t="s">
        <v>44</v>
      </c>
      <c r="C20" s="6">
        <v>6959455045.9321985</v>
      </c>
      <c r="D20" s="6">
        <v>7437499748.4021997</v>
      </c>
      <c r="E20" s="6">
        <v>6436671932.0554008</v>
      </c>
      <c r="F20" s="6">
        <v>6915552258.1354008</v>
      </c>
      <c r="G20" s="6">
        <v>6397462548.4613018</v>
      </c>
      <c r="H20" s="6">
        <v>6888034655.8613014</v>
      </c>
      <c r="I20" s="6">
        <v>6349060000.5675011</v>
      </c>
      <c r="J20" s="6">
        <v>6834926628.0174999</v>
      </c>
      <c r="K20" s="6">
        <v>7040501909.1388998</v>
      </c>
      <c r="L20" s="6">
        <v>7619242384.3788996</v>
      </c>
      <c r="M20" s="6">
        <v>7605382901.3475008</v>
      </c>
      <c r="N20" s="6">
        <v>8179458993.0275002</v>
      </c>
      <c r="O20" s="6">
        <v>7196361105.6505003</v>
      </c>
      <c r="P20" s="6">
        <v>7773827608.2904997</v>
      </c>
      <c r="Q20" s="6">
        <v>7109772952.4734993</v>
      </c>
      <c r="R20" s="6">
        <v>7906098071.0435009</v>
      </c>
      <c r="S20" s="6">
        <v>6945560037.5858994</v>
      </c>
      <c r="T20" s="6">
        <v>7664607826.0958996</v>
      </c>
      <c r="U20" s="6">
        <v>7179356855.1118994</v>
      </c>
      <c r="V20" s="6">
        <v>7901733410.7418985</v>
      </c>
      <c r="W20" s="6">
        <v>6471824991.5799007</v>
      </c>
      <c r="X20" s="6">
        <v>7189639903.3799</v>
      </c>
      <c r="Y20" s="6">
        <v>7147790060.4654999</v>
      </c>
      <c r="Z20" s="6">
        <v>7868892643.4955006</v>
      </c>
      <c r="AA20" s="10">
        <f t="shared" si="0"/>
        <v>82839200340.369995</v>
      </c>
      <c r="AB20" s="11">
        <v>40593701332.480003</v>
      </c>
      <c r="AC20" s="11">
        <f t="shared" si="1"/>
        <v>270716340.9816013</v>
      </c>
      <c r="AD20" s="13">
        <f t="shared" si="2"/>
        <v>132659154.6813072</v>
      </c>
    </row>
    <row r="21" spans="1:30" ht="18" customHeight="1" x14ac:dyDescent="0.35">
      <c r="A21" s="4">
        <v>20</v>
      </c>
      <c r="B21" s="5" t="s">
        <v>45</v>
      </c>
      <c r="C21" s="6">
        <v>5304495561.4037991</v>
      </c>
      <c r="D21" s="6">
        <v>5623571386.8038006</v>
      </c>
      <c r="E21" s="6">
        <v>4914796259.3792</v>
      </c>
      <c r="F21" s="6">
        <v>5235591041.669199</v>
      </c>
      <c r="G21" s="6">
        <v>4875729926.8893995</v>
      </c>
      <c r="H21" s="6">
        <v>5193603813.6993999</v>
      </c>
      <c r="I21" s="6">
        <v>4857452744.9479008</v>
      </c>
      <c r="J21" s="6">
        <v>5176916324.0979004</v>
      </c>
      <c r="K21" s="6">
        <v>5474784704.3491993</v>
      </c>
      <c r="L21" s="6">
        <v>5791350168.7592001</v>
      </c>
      <c r="M21" s="6">
        <v>5924765106.7789993</v>
      </c>
      <c r="N21" s="6">
        <v>6279363408.4589996</v>
      </c>
      <c r="O21" s="6">
        <v>5590329745.5158987</v>
      </c>
      <c r="P21" s="6">
        <v>5944262445.6258993</v>
      </c>
      <c r="Q21" s="6">
        <v>5448342050.5225</v>
      </c>
      <c r="R21" s="6">
        <v>6027994604.2824993</v>
      </c>
      <c r="S21" s="6">
        <v>5287503963.1354008</v>
      </c>
      <c r="T21" s="6">
        <v>5796014667.0354004</v>
      </c>
      <c r="U21" s="6">
        <v>5450974544.2557001</v>
      </c>
      <c r="V21" s="6">
        <v>5956644085.2856998</v>
      </c>
      <c r="W21" s="6">
        <v>4954646059.4209003</v>
      </c>
      <c r="X21" s="6">
        <v>5461825560.1708984</v>
      </c>
      <c r="Y21" s="6">
        <v>5434313328.5742006</v>
      </c>
      <c r="Z21" s="6">
        <v>5940827227.7542</v>
      </c>
      <c r="AA21" s="10">
        <f t="shared" si="0"/>
        <v>63518133995.173096</v>
      </c>
      <c r="AB21" s="11">
        <v>8496742120</v>
      </c>
      <c r="AC21" s="11">
        <f t="shared" si="1"/>
        <v>207575601.29141533</v>
      </c>
      <c r="AD21" s="13">
        <f t="shared" si="2"/>
        <v>27767131.111111112</v>
      </c>
    </row>
    <row r="22" spans="1:30" ht="18" customHeight="1" x14ac:dyDescent="0.35">
      <c r="A22" s="4">
        <v>21</v>
      </c>
      <c r="B22" s="5" t="s">
        <v>46</v>
      </c>
      <c r="C22" s="6">
        <v>4434782218.6732998</v>
      </c>
      <c r="D22" s="6">
        <v>4741665712.3832998</v>
      </c>
      <c r="E22" s="6">
        <v>4123556615.779099</v>
      </c>
      <c r="F22" s="6">
        <v>4426761532.8491001</v>
      </c>
      <c r="G22" s="6">
        <v>4091128448.8344998</v>
      </c>
      <c r="H22" s="6">
        <v>4394333365.9045</v>
      </c>
      <c r="I22" s="6">
        <v>4075814093.1039</v>
      </c>
      <c r="J22" s="6">
        <v>4379019010.1739006</v>
      </c>
      <c r="K22" s="6">
        <v>4555430677.7145004</v>
      </c>
      <c r="L22" s="6">
        <v>4881135594.7845001</v>
      </c>
      <c r="M22" s="6">
        <v>4950869623.7999001</v>
      </c>
      <c r="N22" s="6">
        <v>5276574540.8698997</v>
      </c>
      <c r="O22" s="6">
        <v>4672638472.7207003</v>
      </c>
      <c r="P22" s="6">
        <v>4998343389.7907</v>
      </c>
      <c r="Q22" s="6">
        <v>4550740357.4858999</v>
      </c>
      <c r="R22" s="6">
        <v>5103249265.2758999</v>
      </c>
      <c r="S22" s="6">
        <v>4430342321.0818005</v>
      </c>
      <c r="T22" s="6">
        <v>4910176638.5318003</v>
      </c>
      <c r="U22" s="6">
        <v>4566008925.2872</v>
      </c>
      <c r="V22" s="6">
        <v>5045843242.7371998</v>
      </c>
      <c r="W22" s="6">
        <v>4119365983.6334</v>
      </c>
      <c r="X22" s="6">
        <v>4614027864.6434002</v>
      </c>
      <c r="Y22" s="6">
        <v>4471987104.1915007</v>
      </c>
      <c r="Z22" s="6">
        <v>4966648985.2014999</v>
      </c>
      <c r="AA22" s="10">
        <f t="shared" si="0"/>
        <v>53042664842.305695</v>
      </c>
      <c r="AB22" s="11">
        <v>7367334836.8699999</v>
      </c>
      <c r="AC22" s="11">
        <f t="shared" si="1"/>
        <v>173342041.96831927</v>
      </c>
      <c r="AD22" s="13">
        <f t="shared" si="2"/>
        <v>24076257.636830065</v>
      </c>
    </row>
    <row r="23" spans="1:30" ht="18" customHeight="1" x14ac:dyDescent="0.35">
      <c r="A23" s="4">
        <v>22</v>
      </c>
      <c r="B23" s="5" t="s">
        <v>47</v>
      </c>
      <c r="C23" s="6">
        <v>4302946125.5530005</v>
      </c>
      <c r="D23" s="6">
        <v>4931690523.0430002</v>
      </c>
      <c r="E23" s="6">
        <v>4004463663.2293</v>
      </c>
      <c r="F23" s="6">
        <v>4589979474.8992996</v>
      </c>
      <c r="G23" s="6">
        <v>3967524420.1992998</v>
      </c>
      <c r="H23" s="6">
        <v>4553040231.8692999</v>
      </c>
      <c r="I23" s="6">
        <v>3940071065.0219002</v>
      </c>
      <c r="J23" s="6">
        <v>4525586876.6918993</v>
      </c>
      <c r="K23" s="6">
        <v>4478496748.2158003</v>
      </c>
      <c r="L23" s="6">
        <v>5064012559.8858004</v>
      </c>
      <c r="M23" s="6">
        <v>4875193549.7430992</v>
      </c>
      <c r="N23" s="6">
        <v>5460709361.4130993</v>
      </c>
      <c r="O23" s="6">
        <v>4616352931.7237997</v>
      </c>
      <c r="P23" s="6">
        <v>5201868743.3937998</v>
      </c>
      <c r="Q23" s="6">
        <v>4745822086.9027996</v>
      </c>
      <c r="R23" s="6">
        <v>5332474401.4027996</v>
      </c>
      <c r="S23" s="6">
        <v>4424204598.2160006</v>
      </c>
      <c r="T23" s="6">
        <v>5092687701.316</v>
      </c>
      <c r="U23" s="6">
        <v>4653872061.3262997</v>
      </c>
      <c r="V23" s="6">
        <v>5411751660.8463001</v>
      </c>
      <c r="W23" s="6">
        <v>4045557409.3836999</v>
      </c>
      <c r="X23" s="6">
        <v>4803437008.9036999</v>
      </c>
      <c r="Y23" s="6">
        <v>4397898945.1799002</v>
      </c>
      <c r="Z23" s="6">
        <v>5155778544.6998997</v>
      </c>
      <c r="AA23" s="10">
        <f t="shared" si="0"/>
        <v>52452403604.694908</v>
      </c>
      <c r="AB23" s="11">
        <v>17199206405</v>
      </c>
      <c r="AC23" s="11">
        <f t="shared" si="1"/>
        <v>171413083.67547357</v>
      </c>
      <c r="AD23" s="13">
        <f t="shared" si="2"/>
        <v>56206556.879084967</v>
      </c>
    </row>
    <row r="24" spans="1:30" ht="18" customHeight="1" x14ac:dyDescent="0.35">
      <c r="A24" s="4">
        <v>23</v>
      </c>
      <c r="B24" s="5" t="s">
        <v>48</v>
      </c>
      <c r="C24" s="6">
        <v>3568091868.4222002</v>
      </c>
      <c r="D24" s="6">
        <v>4064458977.5022001</v>
      </c>
      <c r="E24" s="6">
        <v>3307918431.9057002</v>
      </c>
      <c r="F24" s="6">
        <v>3804396403.7557001</v>
      </c>
      <c r="G24" s="6">
        <v>3279896086.0678</v>
      </c>
      <c r="H24" s="6">
        <v>3776374057.9177999</v>
      </c>
      <c r="I24" s="6">
        <v>3249378997.0338001</v>
      </c>
      <c r="J24" s="6">
        <v>3745856968.883801</v>
      </c>
      <c r="K24" s="6">
        <v>3706181100.2618999</v>
      </c>
      <c r="L24" s="6">
        <v>4202659072.1118999</v>
      </c>
      <c r="M24" s="6">
        <v>3977264438.3873</v>
      </c>
      <c r="N24" s="6">
        <v>4508798365.8472996</v>
      </c>
      <c r="O24" s="6">
        <v>3758459535.6777</v>
      </c>
      <c r="P24" s="6">
        <v>4289993463.1177011</v>
      </c>
      <c r="Q24" s="6">
        <v>3619624105.644999</v>
      </c>
      <c r="R24" s="6">
        <v>4373797913.5149994</v>
      </c>
      <c r="S24" s="6">
        <v>3516975521.487</v>
      </c>
      <c r="T24" s="6">
        <v>4198474739.0170002</v>
      </c>
      <c r="U24" s="6">
        <v>3634566141.849299</v>
      </c>
      <c r="V24" s="6">
        <v>4316065359.3793001</v>
      </c>
      <c r="W24" s="6">
        <v>3335884902.7087998</v>
      </c>
      <c r="X24" s="6">
        <v>3946647729.4288001</v>
      </c>
      <c r="Y24" s="6">
        <v>3663473766.5506001</v>
      </c>
      <c r="Z24" s="6">
        <v>4274236593.2705998</v>
      </c>
      <c r="AA24" s="10">
        <f t="shared" si="0"/>
        <v>42617714895.997101</v>
      </c>
      <c r="AB24" s="11">
        <v>30637316338.07</v>
      </c>
      <c r="AC24" s="11">
        <f t="shared" si="1"/>
        <v>139273578.09149379</v>
      </c>
      <c r="AD24" s="13">
        <f t="shared" si="2"/>
        <v>100121948.81722222</v>
      </c>
    </row>
    <row r="25" spans="1:30" ht="18" customHeight="1" x14ac:dyDescent="0.35">
      <c r="A25" s="4">
        <v>24</v>
      </c>
      <c r="B25" s="5" t="s">
        <v>49</v>
      </c>
      <c r="C25" s="6">
        <v>10239944950.056499</v>
      </c>
      <c r="D25" s="6">
        <v>14216598496.616501</v>
      </c>
      <c r="E25" s="6">
        <v>9328440814.7831001</v>
      </c>
      <c r="F25" s="6">
        <v>13255305781.983101</v>
      </c>
      <c r="G25" s="6">
        <v>8947264735.8596001</v>
      </c>
      <c r="H25" s="6">
        <v>12874129703.059601</v>
      </c>
      <c r="I25" s="6">
        <v>9337714307.4692001</v>
      </c>
      <c r="J25" s="6">
        <v>13264579274.669201</v>
      </c>
      <c r="K25" s="6">
        <v>10487386149.2689</v>
      </c>
      <c r="L25" s="6">
        <v>14414251116.468901</v>
      </c>
      <c r="M25" s="6">
        <v>11433112367.285601</v>
      </c>
      <c r="N25" s="6">
        <v>15359977334.4856</v>
      </c>
      <c r="O25" s="6">
        <v>9701365276.198101</v>
      </c>
      <c r="P25" s="6">
        <v>13628230243.3981</v>
      </c>
      <c r="Q25" s="6">
        <v>9252579451.2565002</v>
      </c>
      <c r="R25" s="6">
        <v>13485605384.046499</v>
      </c>
      <c r="S25" s="6">
        <v>9304710669.7336006</v>
      </c>
      <c r="T25" s="6">
        <v>13537736602.5236</v>
      </c>
      <c r="U25" s="6">
        <v>11442478987.369101</v>
      </c>
      <c r="V25" s="6">
        <v>14675504920.1591</v>
      </c>
      <c r="W25" s="6">
        <v>8659376244.8903999</v>
      </c>
      <c r="X25" s="6">
        <v>12892402177.680401</v>
      </c>
      <c r="Y25" s="6">
        <v>10070132673.5439</v>
      </c>
      <c r="Z25" s="6">
        <v>14303158606.3339</v>
      </c>
      <c r="AA25" s="10">
        <f t="shared" si="0"/>
        <v>118204506627.71448</v>
      </c>
      <c r="AB25" s="11">
        <v>646613516170.14001</v>
      </c>
      <c r="AC25" s="11">
        <f t="shared" si="1"/>
        <v>386289237.34547216</v>
      </c>
      <c r="AD25" s="13">
        <f t="shared" si="2"/>
        <v>2113116065.9154902</v>
      </c>
    </row>
    <row r="26" spans="1:30" ht="18" customHeight="1" x14ac:dyDescent="0.35">
      <c r="A26" s="4">
        <v>25</v>
      </c>
      <c r="B26" s="5" t="s">
        <v>50</v>
      </c>
      <c r="C26" s="6">
        <v>3767018202.9958</v>
      </c>
      <c r="D26" s="6">
        <v>4153489315.3857999</v>
      </c>
      <c r="E26" s="6">
        <v>3461653619.393199</v>
      </c>
      <c r="F26" s="6">
        <v>3843398011.1131992</v>
      </c>
      <c r="G26" s="6">
        <v>3450990990.8887</v>
      </c>
      <c r="H26" s="6">
        <v>3832735382.6086998</v>
      </c>
      <c r="I26" s="6">
        <v>3417877769.5658989</v>
      </c>
      <c r="J26" s="6">
        <v>3799622161.2859001</v>
      </c>
      <c r="K26" s="6">
        <v>3917267994.8316002</v>
      </c>
      <c r="L26" s="6">
        <v>4299012386.5516005</v>
      </c>
      <c r="M26" s="6">
        <v>4196735496.5606999</v>
      </c>
      <c r="N26" s="6">
        <v>4578479888.2807007</v>
      </c>
      <c r="O26" s="6">
        <v>3965847839.5935998</v>
      </c>
      <c r="P26" s="6">
        <v>4347592231.3135996</v>
      </c>
      <c r="Q26" s="6">
        <v>3833013992.2361999</v>
      </c>
      <c r="R26" s="6">
        <v>4443144058.6662006</v>
      </c>
      <c r="S26" s="6">
        <v>3731764055.3143001</v>
      </c>
      <c r="T26" s="6">
        <v>4269219531.4043002</v>
      </c>
      <c r="U26" s="6">
        <v>3847763232.9892998</v>
      </c>
      <c r="V26" s="6">
        <v>4385218709.0792999</v>
      </c>
      <c r="W26" s="6">
        <v>3476099746.8966999</v>
      </c>
      <c r="X26" s="6">
        <v>4013555222.9867001</v>
      </c>
      <c r="Y26" s="6">
        <v>3778778849.8785</v>
      </c>
      <c r="Z26" s="6">
        <v>4316234325.9685001</v>
      </c>
      <c r="AA26" s="10">
        <f t="shared" si="0"/>
        <v>44844811791.144493</v>
      </c>
      <c r="AB26" s="11">
        <v>14534820605.200001</v>
      </c>
      <c r="AC26" s="11">
        <f t="shared" si="1"/>
        <v>146551672.52008003</v>
      </c>
      <c r="AD26" s="13">
        <f t="shared" si="2"/>
        <v>47499413.742483661</v>
      </c>
    </row>
    <row r="27" spans="1:30" ht="18" customHeight="1" x14ac:dyDescent="0.35">
      <c r="A27" s="4">
        <v>26</v>
      </c>
      <c r="B27" s="5" t="s">
        <v>51</v>
      </c>
      <c r="C27" s="6">
        <v>4690294616.6381998</v>
      </c>
      <c r="D27" s="6">
        <v>5291313582.1381998</v>
      </c>
      <c r="E27" s="6">
        <v>4354825251.521801</v>
      </c>
      <c r="F27" s="6">
        <v>4948314129.021801</v>
      </c>
      <c r="G27" s="6">
        <v>4301447656.8037004</v>
      </c>
      <c r="H27" s="6">
        <v>4900768312.0637007</v>
      </c>
      <c r="I27" s="6">
        <v>4295524964.8379002</v>
      </c>
      <c r="J27" s="6">
        <v>4892314384.1679001</v>
      </c>
      <c r="K27" s="6">
        <v>4826436188.7261</v>
      </c>
      <c r="L27" s="6">
        <v>5424845057.0661001</v>
      </c>
      <c r="M27" s="6">
        <v>5257213444.5212994</v>
      </c>
      <c r="N27" s="6">
        <v>5853111624.0812998</v>
      </c>
      <c r="O27" s="6">
        <v>4975872276.4463997</v>
      </c>
      <c r="P27" s="6">
        <v>5573369357.8563995</v>
      </c>
      <c r="Q27" s="6">
        <v>4871076498.0646992</v>
      </c>
      <c r="R27" s="6">
        <v>5702160589.4246998</v>
      </c>
      <c r="S27" s="6">
        <v>4825878523.0100994</v>
      </c>
      <c r="T27" s="6">
        <v>5467596302.2700996</v>
      </c>
      <c r="U27" s="6">
        <v>4965583341.7123003</v>
      </c>
      <c r="V27" s="6">
        <v>5608869200.1123009</v>
      </c>
      <c r="W27" s="6">
        <v>4519492368.3961992</v>
      </c>
      <c r="X27" s="6">
        <v>5160318908.6661997</v>
      </c>
      <c r="Y27" s="6">
        <v>4922389349.6658001</v>
      </c>
      <c r="Z27" s="6">
        <v>5564616385.4358006</v>
      </c>
      <c r="AA27" s="10">
        <f t="shared" si="0"/>
        <v>56806034480.344505</v>
      </c>
      <c r="AB27" s="11">
        <v>13603788397.559999</v>
      </c>
      <c r="AC27" s="11">
        <f t="shared" si="1"/>
        <v>185640635.55668139</v>
      </c>
      <c r="AD27" s="13">
        <f t="shared" si="2"/>
        <v>44456824.828627452</v>
      </c>
    </row>
    <row r="28" spans="1:30" ht="18" customHeight="1" x14ac:dyDescent="0.35">
      <c r="A28" s="4">
        <v>27</v>
      </c>
      <c r="B28" s="5" t="s">
        <v>52</v>
      </c>
      <c r="C28" s="6">
        <v>3220356899.3736</v>
      </c>
      <c r="D28" s="6">
        <v>4430161061.4636002</v>
      </c>
      <c r="E28" s="6">
        <v>2920061752.5391002</v>
      </c>
      <c r="F28" s="6">
        <v>4129378744.5690989</v>
      </c>
      <c r="G28" s="6">
        <v>2892378912.0749998</v>
      </c>
      <c r="H28" s="6">
        <v>4101695904.105</v>
      </c>
      <c r="I28" s="6">
        <v>2880631536.2255998</v>
      </c>
      <c r="J28" s="6">
        <v>4089948528.2556</v>
      </c>
      <c r="K28" s="6">
        <v>3411081655.8116999</v>
      </c>
      <c r="L28" s="6">
        <v>4620398647.8416996</v>
      </c>
      <c r="M28" s="6">
        <v>3678287590.1641011</v>
      </c>
      <c r="N28" s="6">
        <v>4887604582.1941004</v>
      </c>
      <c r="O28" s="6">
        <v>3412296839.6939001</v>
      </c>
      <c r="P28" s="6">
        <v>4621613831.7238998</v>
      </c>
      <c r="Q28" s="6">
        <v>3283511372.9484992</v>
      </c>
      <c r="R28" s="6">
        <v>4708042814.1884995</v>
      </c>
      <c r="S28" s="6">
        <v>3195349565.1637998</v>
      </c>
      <c r="T28" s="6">
        <v>4547206416.0637999</v>
      </c>
      <c r="U28" s="6">
        <v>3689768299.9849</v>
      </c>
      <c r="V28" s="6">
        <v>5041625150.8849001</v>
      </c>
      <c r="W28" s="6">
        <v>2960177942.1424999</v>
      </c>
      <c r="X28" s="6">
        <v>4312034793.0424995</v>
      </c>
      <c r="Y28" s="6">
        <v>3356720770.4154</v>
      </c>
      <c r="Z28" s="6">
        <v>4708577621.3154001</v>
      </c>
      <c r="AA28" s="10">
        <f t="shared" si="0"/>
        <v>38900623136.538101</v>
      </c>
      <c r="AB28" s="11">
        <v>81420131107.300003</v>
      </c>
      <c r="AC28" s="11">
        <f t="shared" si="1"/>
        <v>127126219.40045132</v>
      </c>
      <c r="AD28" s="13">
        <f t="shared" si="2"/>
        <v>266078859.82777777</v>
      </c>
    </row>
    <row r="29" spans="1:30" ht="18" customHeight="1" x14ac:dyDescent="0.35">
      <c r="A29" s="4">
        <v>28</v>
      </c>
      <c r="B29" s="5" t="s">
        <v>53</v>
      </c>
      <c r="C29" s="6">
        <v>5062331612.1247997</v>
      </c>
      <c r="D29" s="6">
        <v>5736009021.4947996</v>
      </c>
      <c r="E29" s="6">
        <v>4505842370.530901</v>
      </c>
      <c r="F29" s="6">
        <v>5183525532.9909</v>
      </c>
      <c r="G29" s="6">
        <v>4499920661.9601002</v>
      </c>
      <c r="H29" s="6">
        <v>5177603824.4201002</v>
      </c>
      <c r="I29" s="6">
        <v>4412463776.9463997</v>
      </c>
      <c r="J29" s="6">
        <v>5090146939.4064007</v>
      </c>
      <c r="K29" s="6">
        <v>4640578093.8290997</v>
      </c>
      <c r="L29" s="6">
        <v>5386997727.2890997</v>
      </c>
      <c r="M29" s="6">
        <v>5062602014.3225002</v>
      </c>
      <c r="N29" s="6">
        <v>5809021647.7824993</v>
      </c>
      <c r="O29" s="6">
        <v>5219187100.8430004</v>
      </c>
      <c r="P29" s="6">
        <v>5965606734.3030005</v>
      </c>
      <c r="Q29" s="6">
        <v>4883501474.9294004</v>
      </c>
      <c r="R29" s="6">
        <v>5830265986.2994003</v>
      </c>
      <c r="S29" s="6">
        <v>4807667723.6107998</v>
      </c>
      <c r="T29" s="6">
        <v>5681757644.6408005</v>
      </c>
      <c r="U29" s="6">
        <v>4965019948.6147985</v>
      </c>
      <c r="V29" s="6">
        <v>5839109869.6448011</v>
      </c>
      <c r="W29" s="6">
        <v>4713603584.9718008</v>
      </c>
      <c r="X29" s="6">
        <v>5587693506.0017996</v>
      </c>
      <c r="Y29" s="6">
        <v>4420454030.2480993</v>
      </c>
      <c r="Z29" s="6">
        <v>5938828714.1980991</v>
      </c>
      <c r="AA29" s="10">
        <f t="shared" si="0"/>
        <v>57193172392.931709</v>
      </c>
      <c r="AB29" s="11">
        <v>30135881918.330002</v>
      </c>
      <c r="AC29" s="11">
        <f t="shared" si="1"/>
        <v>186905792.13376376</v>
      </c>
      <c r="AD29" s="13">
        <f t="shared" si="2"/>
        <v>98483274.242908508</v>
      </c>
    </row>
    <row r="30" spans="1:30" ht="18" customHeight="1" x14ac:dyDescent="0.35">
      <c r="A30" s="4">
        <v>29</v>
      </c>
      <c r="B30" s="5" t="s">
        <v>54</v>
      </c>
      <c r="C30" s="6">
        <v>1825717633.3253</v>
      </c>
      <c r="D30" s="6">
        <v>4252384717.8153</v>
      </c>
      <c r="E30" s="6">
        <v>1550651250.9700999</v>
      </c>
      <c r="F30" s="6">
        <v>3968730729.0300999</v>
      </c>
      <c r="G30" s="6">
        <v>1517768762.6022999</v>
      </c>
      <c r="H30" s="6">
        <v>3935848240.6623001</v>
      </c>
      <c r="I30" s="6">
        <v>1506987531.9645</v>
      </c>
      <c r="J30" s="6">
        <v>3925067010.0244999</v>
      </c>
      <c r="K30" s="6">
        <v>1963031274.1845</v>
      </c>
      <c r="L30" s="6">
        <v>4381110752.2444992</v>
      </c>
      <c r="M30" s="6">
        <v>2284968395.0918999</v>
      </c>
      <c r="N30" s="6">
        <v>4703047873.1519003</v>
      </c>
      <c r="O30" s="6">
        <v>2045765020.9525001</v>
      </c>
      <c r="P30" s="6">
        <v>4463844499.0124998</v>
      </c>
      <c r="Q30" s="6">
        <v>2554441762.3821001</v>
      </c>
      <c r="R30" s="6">
        <v>4565042541.6721001</v>
      </c>
      <c r="S30" s="6">
        <v>2460622458.8006001</v>
      </c>
      <c r="T30" s="6">
        <v>4398548647.7505999</v>
      </c>
      <c r="U30" s="6">
        <v>2593551318.6806989</v>
      </c>
      <c r="V30" s="6">
        <v>4531477507.6307001</v>
      </c>
      <c r="W30" s="6">
        <v>2188565830.6557002</v>
      </c>
      <c r="X30" s="6">
        <v>4126492019.6057</v>
      </c>
      <c r="Y30" s="6">
        <v>2525146147.3259001</v>
      </c>
      <c r="Z30" s="6">
        <v>4463072336.2758999</v>
      </c>
      <c r="AA30" s="10">
        <f t="shared" si="0"/>
        <v>25017217386.936096</v>
      </c>
      <c r="AB30" s="11">
        <v>17701126404.970001</v>
      </c>
      <c r="AC30" s="11">
        <f t="shared" si="1"/>
        <v>81755612.375608161</v>
      </c>
      <c r="AD30" s="13">
        <f t="shared" si="2"/>
        <v>57846818.316895425</v>
      </c>
    </row>
    <row r="31" spans="1:30" ht="18" customHeight="1" x14ac:dyDescent="0.35">
      <c r="A31" s="4">
        <v>30</v>
      </c>
      <c r="B31" s="5" t="s">
        <v>55</v>
      </c>
      <c r="C31" s="6">
        <v>5000673206.1581001</v>
      </c>
      <c r="D31" s="6">
        <v>5686983287.8480997</v>
      </c>
      <c r="E31" s="6">
        <v>4547141728.4470015</v>
      </c>
      <c r="F31" s="6">
        <v>5228621602.1870003</v>
      </c>
      <c r="G31" s="6">
        <v>4476823738.5819006</v>
      </c>
      <c r="H31" s="6">
        <v>5158615941.0918999</v>
      </c>
      <c r="I31" s="6">
        <v>4450789359.4602985</v>
      </c>
      <c r="J31" s="6">
        <v>5135704849.6702995</v>
      </c>
      <c r="K31" s="6">
        <v>4858462219.7152996</v>
      </c>
      <c r="L31" s="6">
        <v>5879002208.3452997</v>
      </c>
      <c r="M31" s="6">
        <v>5115243376.7917995</v>
      </c>
      <c r="N31" s="6">
        <v>6135783365.4217997</v>
      </c>
      <c r="O31" s="6">
        <v>4875311519.3154001</v>
      </c>
      <c r="P31" s="6">
        <v>5766474656.1253996</v>
      </c>
      <c r="Q31" s="6">
        <v>4516191628.0551996</v>
      </c>
      <c r="R31" s="6">
        <v>5828548202.9651995</v>
      </c>
      <c r="S31" s="6">
        <v>4410590891.3713007</v>
      </c>
      <c r="T31" s="6">
        <v>5650272875.9413004</v>
      </c>
      <c r="U31" s="6">
        <v>4660291035.2491999</v>
      </c>
      <c r="V31" s="6">
        <v>5899973019.8191996</v>
      </c>
      <c r="W31" s="6">
        <v>4101640460.962501</v>
      </c>
      <c r="X31" s="6">
        <v>5341322445.5325003</v>
      </c>
      <c r="Y31" s="6">
        <v>4679081487.3416004</v>
      </c>
      <c r="Z31" s="6">
        <v>5918763471.9116001</v>
      </c>
      <c r="AA31" s="10">
        <f t="shared" si="0"/>
        <v>55692240651.4496</v>
      </c>
      <c r="AB31" s="11">
        <v>26585813573.700001</v>
      </c>
      <c r="AC31" s="11">
        <f t="shared" si="1"/>
        <v>182000786.44264576</v>
      </c>
      <c r="AD31" s="13">
        <f t="shared" si="2"/>
        <v>86881743.704901963</v>
      </c>
    </row>
    <row r="32" spans="1:30" ht="18" customHeight="1" x14ac:dyDescent="0.35">
      <c r="A32" s="4">
        <v>31</v>
      </c>
      <c r="B32" s="5" t="s">
        <v>56</v>
      </c>
      <c r="C32" s="6">
        <v>3548673023.1395011</v>
      </c>
      <c r="D32" s="6">
        <v>4701101084.2694998</v>
      </c>
      <c r="E32" s="6">
        <v>3661939864.4152002</v>
      </c>
      <c r="F32" s="6">
        <v>4396152030.8252001</v>
      </c>
      <c r="G32" s="6">
        <v>3435832184.3239002</v>
      </c>
      <c r="H32" s="6">
        <v>4379094679.3338985</v>
      </c>
      <c r="I32" s="6">
        <v>3387447622.5454011</v>
      </c>
      <c r="J32" s="6">
        <v>4330710117.5553999</v>
      </c>
      <c r="K32" s="6">
        <v>3897277778.1297998</v>
      </c>
      <c r="L32" s="6">
        <v>4840540273.1747999</v>
      </c>
      <c r="M32" s="6">
        <v>4268321389.185101</v>
      </c>
      <c r="N32" s="6">
        <v>5211583884.2300997</v>
      </c>
      <c r="O32" s="6">
        <v>4014852211.083601</v>
      </c>
      <c r="P32" s="6">
        <v>4958114706.1286001</v>
      </c>
      <c r="Q32" s="6">
        <v>3269442390.9696012</v>
      </c>
      <c r="R32" s="6">
        <v>5067239229.6146002</v>
      </c>
      <c r="S32" s="6">
        <v>3145596334.0598998</v>
      </c>
      <c r="T32" s="6">
        <v>4870718582.3648996</v>
      </c>
      <c r="U32" s="6">
        <v>3302065034.6181998</v>
      </c>
      <c r="V32" s="6">
        <v>5027187282.9232006</v>
      </c>
      <c r="W32" s="6">
        <v>2854006315.4527998</v>
      </c>
      <c r="X32" s="6">
        <v>4579128563.7578001</v>
      </c>
      <c r="Y32" s="6">
        <v>3280835100.5890002</v>
      </c>
      <c r="Z32" s="6">
        <v>5005957348.8940001</v>
      </c>
      <c r="AA32" s="10">
        <f t="shared" si="0"/>
        <v>42066289248.511993</v>
      </c>
      <c r="AB32" s="11">
        <v>16480111593.83</v>
      </c>
      <c r="AC32" s="11">
        <f t="shared" si="1"/>
        <v>137471533.49186927</v>
      </c>
      <c r="AD32" s="13">
        <f t="shared" si="2"/>
        <v>53856573.836045749</v>
      </c>
    </row>
    <row r="33" spans="1:30" ht="18" customHeight="1" x14ac:dyDescent="0.35">
      <c r="A33" s="4">
        <v>32</v>
      </c>
      <c r="B33" s="5" t="s">
        <v>57</v>
      </c>
      <c r="C33" s="6">
        <v>13047580519.670401</v>
      </c>
      <c r="D33" s="6">
        <v>13976561290.440399</v>
      </c>
      <c r="E33" s="6">
        <v>13000340750.242399</v>
      </c>
      <c r="F33" s="6">
        <v>14149694621.8624</v>
      </c>
      <c r="G33" s="6">
        <v>12997381057.692699</v>
      </c>
      <c r="H33" s="6">
        <v>13798307997.7127</v>
      </c>
      <c r="I33" s="6">
        <v>12238261885.2889</v>
      </c>
      <c r="J33" s="6">
        <v>13039188825.308901</v>
      </c>
      <c r="K33" s="6">
        <v>12344750266.221201</v>
      </c>
      <c r="L33" s="6">
        <v>13145677206.241199</v>
      </c>
      <c r="M33" s="6">
        <v>11745283586.2486</v>
      </c>
      <c r="N33" s="6">
        <v>12546210526.2686</v>
      </c>
      <c r="O33" s="6">
        <v>14344299485.8997</v>
      </c>
      <c r="P33" s="6">
        <v>15145226425.919701</v>
      </c>
      <c r="Q33" s="6">
        <v>14020092569.830799</v>
      </c>
      <c r="R33" s="6">
        <v>14992917651.400801</v>
      </c>
      <c r="S33" s="6">
        <v>14700347722.4331</v>
      </c>
      <c r="T33" s="6">
        <v>15600498213.663099</v>
      </c>
      <c r="U33" s="6">
        <v>14108187838.4865</v>
      </c>
      <c r="V33" s="6">
        <v>15008338329.716499</v>
      </c>
      <c r="W33" s="6">
        <v>13687813888.8862</v>
      </c>
      <c r="X33" s="6">
        <v>14587964380.116199</v>
      </c>
      <c r="Y33" s="6">
        <v>14550599713.7889</v>
      </c>
      <c r="Z33" s="6">
        <v>15450750205.0189</v>
      </c>
      <c r="AA33" s="10">
        <f t="shared" si="0"/>
        <v>160784939284.68942</v>
      </c>
      <c r="AB33" s="11">
        <v>169600311616.62</v>
      </c>
      <c r="AC33" s="11">
        <f t="shared" si="1"/>
        <v>525440978.05454057</v>
      </c>
      <c r="AD33" s="13">
        <f t="shared" si="2"/>
        <v>554249384.36803925</v>
      </c>
    </row>
    <row r="34" spans="1:30" ht="18" customHeight="1" x14ac:dyDescent="0.35">
      <c r="A34" s="4">
        <v>33</v>
      </c>
      <c r="B34" s="5" t="s">
        <v>58</v>
      </c>
      <c r="C34" s="6">
        <v>4652638780.3254004</v>
      </c>
      <c r="D34" s="6">
        <v>4967957641.4554005</v>
      </c>
      <c r="E34" s="6">
        <v>4317545048.6721001</v>
      </c>
      <c r="F34" s="6">
        <v>4629259673.9920998</v>
      </c>
      <c r="G34" s="6">
        <v>4269398682.3097</v>
      </c>
      <c r="H34" s="6">
        <v>4581113307.6296997</v>
      </c>
      <c r="I34" s="6">
        <v>4255906404.6847</v>
      </c>
      <c r="J34" s="6">
        <v>4567621030.0046997</v>
      </c>
      <c r="K34" s="6">
        <v>4782116966.0625</v>
      </c>
      <c r="L34" s="6">
        <v>5093831591.3824997</v>
      </c>
      <c r="M34" s="6">
        <v>5167458473.5843</v>
      </c>
      <c r="N34" s="6">
        <v>5479173098.9042997</v>
      </c>
      <c r="O34" s="6">
        <v>4907773630.8240995</v>
      </c>
      <c r="P34" s="6">
        <v>5219488256.1441002</v>
      </c>
      <c r="Q34" s="6">
        <v>4791885524.6004009</v>
      </c>
      <c r="R34" s="6">
        <v>5330577975.3403997</v>
      </c>
      <c r="S34" s="6">
        <v>4651927967.3058004</v>
      </c>
      <c r="T34" s="6">
        <v>5117945827.7058001</v>
      </c>
      <c r="U34" s="6">
        <v>4794870490.5909996</v>
      </c>
      <c r="V34" s="6">
        <v>5260888350.9910002</v>
      </c>
      <c r="W34" s="6">
        <v>4352707766.4036999</v>
      </c>
      <c r="X34" s="6">
        <v>4818725626.8036985</v>
      </c>
      <c r="Y34" s="6">
        <v>4722831099.5674992</v>
      </c>
      <c r="Z34" s="6">
        <v>5188848959.9674997</v>
      </c>
      <c r="AA34" s="10">
        <f t="shared" si="0"/>
        <v>55667060834.931206</v>
      </c>
      <c r="AB34" s="11">
        <v>19005093541.110001</v>
      </c>
      <c r="AC34" s="11">
        <f t="shared" si="1"/>
        <v>181918499.46055949</v>
      </c>
      <c r="AD34" s="13">
        <f t="shared" si="2"/>
        <v>62108148.827156864</v>
      </c>
    </row>
    <row r="35" spans="1:30" ht="18" customHeight="1" x14ac:dyDescent="0.35">
      <c r="A35" s="4">
        <v>34</v>
      </c>
      <c r="B35" s="5" t="s">
        <v>59</v>
      </c>
      <c r="C35" s="6">
        <v>3882352003.0918002</v>
      </c>
      <c r="D35" s="6">
        <v>4306438096.6917992</v>
      </c>
      <c r="E35" s="6">
        <v>3599559248.447701</v>
      </c>
      <c r="F35" s="6">
        <v>4017026046.1676998</v>
      </c>
      <c r="G35" s="6">
        <v>3570107626.2270999</v>
      </c>
      <c r="H35" s="6">
        <v>3987574423.9471002</v>
      </c>
      <c r="I35" s="6">
        <v>3561846067.2051001</v>
      </c>
      <c r="J35" s="6">
        <v>3979312864.9250998</v>
      </c>
      <c r="K35" s="6">
        <v>4024574327.3895998</v>
      </c>
      <c r="L35" s="6">
        <v>4442041125.1096001</v>
      </c>
      <c r="M35" s="6">
        <v>4357783370.7000999</v>
      </c>
      <c r="N35" s="6">
        <v>4775250168.4200993</v>
      </c>
      <c r="O35" s="6">
        <v>4147031734.3238001</v>
      </c>
      <c r="P35" s="6">
        <v>4564498532.0438004</v>
      </c>
      <c r="Q35" s="6">
        <v>4038631469.6076002</v>
      </c>
      <c r="R35" s="6">
        <v>4686974398.7175999</v>
      </c>
      <c r="S35" s="6">
        <v>3891139847.469501</v>
      </c>
      <c r="T35" s="6">
        <v>4466808186.2395</v>
      </c>
      <c r="U35" s="6">
        <v>4006419851.4475002</v>
      </c>
      <c r="V35" s="6">
        <v>4582088190.2174997</v>
      </c>
      <c r="W35" s="6">
        <v>3639137760.4011998</v>
      </c>
      <c r="X35" s="6">
        <v>4214806099.1711998</v>
      </c>
      <c r="Y35" s="6">
        <v>3961935989.8410001</v>
      </c>
      <c r="Z35" s="6">
        <v>4537604328.6110001</v>
      </c>
      <c r="AA35" s="10">
        <f t="shared" si="0"/>
        <v>46680519296.152008</v>
      </c>
      <c r="AB35" s="11">
        <v>6533106447.2700005</v>
      </c>
      <c r="AC35" s="11">
        <f t="shared" si="1"/>
        <v>152550716.65409154</v>
      </c>
      <c r="AD35" s="13">
        <f t="shared" si="2"/>
        <v>21350021.069509804</v>
      </c>
    </row>
    <row r="36" spans="1:30" ht="18" customHeight="1" x14ac:dyDescent="0.35">
      <c r="A36" s="4">
        <v>35</v>
      </c>
      <c r="B36" s="5" t="s">
        <v>60</v>
      </c>
      <c r="C36" s="6">
        <v>4306666720.9537001</v>
      </c>
      <c r="D36" s="6">
        <v>4433350040.7537003</v>
      </c>
      <c r="E36" s="6">
        <v>4038141838.5149002</v>
      </c>
      <c r="F36" s="6">
        <v>4160057479.0249</v>
      </c>
      <c r="G36" s="6">
        <v>4012707917.0991998</v>
      </c>
      <c r="H36" s="6">
        <v>4134623557.6092</v>
      </c>
      <c r="I36" s="6">
        <v>3980459295.4935999</v>
      </c>
      <c r="J36" s="6">
        <v>4102374936.0036001</v>
      </c>
      <c r="K36" s="6">
        <v>4441123382.4614</v>
      </c>
      <c r="L36" s="6">
        <v>4563039022.9714003</v>
      </c>
      <c r="M36" s="6">
        <v>4814662854.9827995</v>
      </c>
      <c r="N36" s="6">
        <v>4936578495.4927998</v>
      </c>
      <c r="O36" s="6">
        <v>4562644681.8368998</v>
      </c>
      <c r="P36" s="6">
        <v>4684560322.3469</v>
      </c>
      <c r="Q36" s="6">
        <v>4425159479.7347002</v>
      </c>
      <c r="R36" s="6">
        <v>4774360622.2646999</v>
      </c>
      <c r="S36" s="6">
        <v>4302338677.0952997</v>
      </c>
      <c r="T36" s="6">
        <v>4578865229.2853003</v>
      </c>
      <c r="U36" s="6">
        <v>4415993975.3181</v>
      </c>
      <c r="V36" s="6">
        <v>4692520527.5080996</v>
      </c>
      <c r="W36" s="6">
        <v>4058996780.4329</v>
      </c>
      <c r="X36" s="6">
        <v>4335523332.6229</v>
      </c>
      <c r="Y36" s="6">
        <v>4379335424.8481998</v>
      </c>
      <c r="Z36" s="6">
        <v>4655861977.0382004</v>
      </c>
      <c r="AA36" s="10">
        <f t="shared" si="0"/>
        <v>51738231028.771698</v>
      </c>
      <c r="AB36" s="11">
        <v>8499227401.0799999</v>
      </c>
      <c r="AC36" s="11">
        <f t="shared" si="1"/>
        <v>169079186.36853495</v>
      </c>
      <c r="AD36" s="13">
        <f t="shared" si="2"/>
        <v>27775252.944705881</v>
      </c>
    </row>
    <row r="37" spans="1:30" ht="18" customHeight="1" x14ac:dyDescent="0.35">
      <c r="A37" s="4">
        <v>36</v>
      </c>
      <c r="B37" s="5" t="s">
        <v>61</v>
      </c>
      <c r="C37" s="6">
        <v>3501888212.0033002</v>
      </c>
      <c r="D37" s="6">
        <v>4536904190.9833002</v>
      </c>
      <c r="E37" s="6">
        <v>3180833886.9584999</v>
      </c>
      <c r="F37" s="6">
        <v>4214475481.4384999</v>
      </c>
      <c r="G37" s="6">
        <v>3147827973.5088</v>
      </c>
      <c r="H37" s="6">
        <v>4181469567.9888</v>
      </c>
      <c r="I37" s="6">
        <v>3139845465.471601</v>
      </c>
      <c r="J37" s="6">
        <v>4173487059.9516001</v>
      </c>
      <c r="K37" s="6">
        <v>3618647794.8828001</v>
      </c>
      <c r="L37" s="6">
        <v>4652289389.3628006</v>
      </c>
      <c r="M37" s="6">
        <v>3971053402.1318011</v>
      </c>
      <c r="N37" s="6">
        <v>5004694996.6118002</v>
      </c>
      <c r="O37" s="6">
        <v>3727589051.9780998</v>
      </c>
      <c r="P37" s="6">
        <v>4761230646.4580994</v>
      </c>
      <c r="Q37" s="6">
        <v>3595662501.6901999</v>
      </c>
      <c r="R37" s="6">
        <v>4856645346.9301996</v>
      </c>
      <c r="S37" s="6">
        <v>3479030631.9347</v>
      </c>
      <c r="T37" s="6">
        <v>4667338886.8346996</v>
      </c>
      <c r="U37" s="6">
        <v>3706487340.5991998</v>
      </c>
      <c r="V37" s="6">
        <v>4799396397.5192003</v>
      </c>
      <c r="W37" s="6">
        <v>3310508108.6197</v>
      </c>
      <c r="X37" s="6">
        <v>4403417165.5397015</v>
      </c>
      <c r="Y37" s="6">
        <v>3648496206.9464998</v>
      </c>
      <c r="Z37" s="6">
        <v>4741405263.8664999</v>
      </c>
      <c r="AA37" s="10">
        <f t="shared" si="0"/>
        <v>42027870576.725204</v>
      </c>
      <c r="AB37" s="11">
        <v>15416043409.66</v>
      </c>
      <c r="AC37" s="11">
        <f t="shared" si="1"/>
        <v>137345982.27687976</v>
      </c>
      <c r="AD37" s="13">
        <f t="shared" si="2"/>
        <v>50379226.82895425</v>
      </c>
    </row>
    <row r="38" spans="1:30" ht="18" customHeight="1" x14ac:dyDescent="0.35">
      <c r="A38" s="7">
        <v>37</v>
      </c>
      <c r="B38" s="8" t="s">
        <v>62</v>
      </c>
      <c r="C38" s="9">
        <v>5904874248.6615</v>
      </c>
      <c r="D38" s="9"/>
      <c r="E38" s="9">
        <v>5518317470.3177004</v>
      </c>
      <c r="F38" s="9"/>
      <c r="G38" s="9">
        <v>5490896339.9897003</v>
      </c>
      <c r="H38" s="9"/>
      <c r="I38" s="9">
        <v>5447536987.3582001</v>
      </c>
      <c r="J38" s="9"/>
      <c r="K38" s="9">
        <v>6092684214.9351997</v>
      </c>
      <c r="L38" s="9"/>
      <c r="M38" s="9">
        <v>6584766933.7147007</v>
      </c>
      <c r="N38" s="9"/>
      <c r="O38" s="9">
        <v>6302524488.6689987</v>
      </c>
      <c r="P38" s="9"/>
      <c r="Q38" s="9">
        <v>6470743515.651</v>
      </c>
      <c r="R38" s="9"/>
      <c r="S38" s="9">
        <v>6177717710.3163996</v>
      </c>
      <c r="T38" s="9"/>
      <c r="U38" s="9">
        <v>6297129883.4759998</v>
      </c>
      <c r="V38" s="9"/>
      <c r="W38" s="9">
        <v>5797656857.9326</v>
      </c>
      <c r="X38" s="9"/>
      <c r="Y38" s="9">
        <v>6192220321.7481003</v>
      </c>
      <c r="Z38" s="9"/>
      <c r="AA38" s="10">
        <f t="shared" si="0"/>
        <v>72277068972.770111</v>
      </c>
      <c r="AB38" s="11">
        <v>74564180835.309998</v>
      </c>
      <c r="AC38" s="11">
        <f t="shared" si="1"/>
        <v>236199571.80643827</v>
      </c>
      <c r="AD38" s="13">
        <f t="shared" si="2"/>
        <v>243673793.57944444</v>
      </c>
    </row>
    <row r="39" spans="1:30" x14ac:dyDescent="0.3">
      <c r="AA39" s="10">
        <f>SUM(AA2:AA38)</f>
        <v>2484908586961.2695</v>
      </c>
      <c r="AC39" s="11">
        <f t="shared" si="1"/>
        <v>8120616297.2590504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9"/>
  <sheetViews>
    <sheetView topLeftCell="T19" workbookViewId="0">
      <selection activeCell="AA40" sqref="AA40"/>
    </sheetView>
  </sheetViews>
  <sheetFormatPr defaultRowHeight="14.4" x14ac:dyDescent="0.3"/>
  <cols>
    <col min="1" max="1" width="6" customWidth="1"/>
    <col min="2" max="26" width="18" customWidth="1"/>
    <col min="27" max="27" width="22.44140625" customWidth="1"/>
    <col min="28" max="28" width="18.21875" bestFit="1" customWidth="1"/>
    <col min="29" max="29" width="14.6640625" bestFit="1" customWidth="1"/>
    <col min="30" max="30" width="16.109375" bestFit="1" customWidth="1"/>
  </cols>
  <sheetData>
    <row r="1" spans="1:30" ht="24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66</v>
      </c>
      <c r="AB1" s="3" t="s">
        <v>67</v>
      </c>
      <c r="AC1" s="3" t="s">
        <v>185</v>
      </c>
      <c r="AD1" s="3" t="s">
        <v>186</v>
      </c>
    </row>
    <row r="2" spans="1:30" ht="18" customHeight="1" x14ac:dyDescent="0.35">
      <c r="A2" s="4">
        <v>1</v>
      </c>
      <c r="B2" s="5" t="s">
        <v>26</v>
      </c>
      <c r="C2" s="6">
        <v>3925621595.7003999</v>
      </c>
      <c r="D2" s="6">
        <v>4710481711.9203997</v>
      </c>
      <c r="E2" s="6">
        <v>3548518525.0510001</v>
      </c>
      <c r="F2" s="6">
        <v>4317610047.2909994</v>
      </c>
      <c r="G2" s="6">
        <v>4176116929.5383</v>
      </c>
      <c r="H2" s="6">
        <v>4945208451.7782993</v>
      </c>
      <c r="I2" s="6">
        <v>3629155269.0360999</v>
      </c>
      <c r="J2" s="6">
        <v>4398246791.2761002</v>
      </c>
      <c r="K2" s="6">
        <v>3628611347.0057011</v>
      </c>
      <c r="L2" s="6">
        <v>4028301734.4756999</v>
      </c>
      <c r="M2" s="6">
        <v>4213114398.9496002</v>
      </c>
      <c r="N2" s="6">
        <v>4636715128.4295998</v>
      </c>
      <c r="O2" s="6">
        <v>4568157051.7964001</v>
      </c>
      <c r="P2" s="6">
        <v>4991757781.2763996</v>
      </c>
      <c r="Q2" s="6">
        <v>4476220765.8502998</v>
      </c>
      <c r="R2" s="6">
        <v>4949861107.9202995</v>
      </c>
      <c r="S2" s="6">
        <v>4281484511.3534002</v>
      </c>
      <c r="T2" s="6">
        <v>4755124853.4234009</v>
      </c>
      <c r="U2" s="6">
        <v>3797052486.5676999</v>
      </c>
      <c r="V2" s="6">
        <v>4270692828.637701</v>
      </c>
      <c r="W2" s="6">
        <v>3792414862.8645</v>
      </c>
      <c r="X2" s="6">
        <v>4266055204.9345002</v>
      </c>
      <c r="Y2" s="6">
        <v>3925180061.0239</v>
      </c>
      <c r="Z2" s="6">
        <v>4399597202.6838999</v>
      </c>
      <c r="AA2" s="10">
        <f>SUM(C2,E2,G2,I2,K2,M2,O2,Q2,S2,U2,W2,Y2)</f>
        <v>47961647804.737305</v>
      </c>
      <c r="AB2" s="11">
        <v>15921226179.91</v>
      </c>
      <c r="AC2" s="11">
        <f>'2020'!AA2/356</f>
        <v>134723729.78858793</v>
      </c>
      <c r="AD2" s="11">
        <f>AB2/356</f>
        <v>44722545.449185394</v>
      </c>
    </row>
    <row r="3" spans="1:30" ht="18" customHeight="1" x14ac:dyDescent="0.35">
      <c r="A3" s="4">
        <v>2</v>
      </c>
      <c r="B3" s="5" t="s">
        <v>27</v>
      </c>
      <c r="C3" s="6">
        <v>3878930601.4151001</v>
      </c>
      <c r="D3" s="6">
        <v>4409735946.6351004</v>
      </c>
      <c r="E3" s="6">
        <v>3383731233.8179989</v>
      </c>
      <c r="F3" s="6">
        <v>3949375756.0380001</v>
      </c>
      <c r="G3" s="6">
        <v>3912661923.1549001</v>
      </c>
      <c r="H3" s="6">
        <v>4478306445.3749008</v>
      </c>
      <c r="I3" s="6">
        <v>3583178863.5281</v>
      </c>
      <c r="J3" s="6">
        <v>4148823385.7480998</v>
      </c>
      <c r="K3" s="6">
        <v>3530016459.5061002</v>
      </c>
      <c r="L3" s="6">
        <v>3766942215.6661</v>
      </c>
      <c r="M3" s="6">
        <v>4362677657.9955997</v>
      </c>
      <c r="N3" s="6">
        <v>4599603414.1555996</v>
      </c>
      <c r="O3" s="6">
        <v>4493874886.4500999</v>
      </c>
      <c r="P3" s="6">
        <v>4730800642.6100998</v>
      </c>
      <c r="Q3" s="6">
        <v>4627113940.2091999</v>
      </c>
      <c r="R3" s="6">
        <v>4867132222.7292004</v>
      </c>
      <c r="S3" s="6">
        <v>4321150201.2767</v>
      </c>
      <c r="T3" s="6">
        <v>4561168483.7966995</v>
      </c>
      <c r="U3" s="6">
        <v>3851006237.1908002</v>
      </c>
      <c r="V3" s="6">
        <v>4091024519.7108002</v>
      </c>
      <c r="W3" s="6">
        <v>3862154996.573</v>
      </c>
      <c r="X3" s="6">
        <v>4113171483.2030001</v>
      </c>
      <c r="Y3" s="6">
        <v>4070469489.4777989</v>
      </c>
      <c r="Z3" s="6">
        <v>4322262775.6977997</v>
      </c>
      <c r="AA3" s="10">
        <f t="shared" ref="AA3:AA38" si="0">SUM(C3,E3,G3,I3,K3,M3,O3,Q3,S3,U3,W3,Y3)</f>
        <v>47876966490.595406</v>
      </c>
      <c r="AB3" s="11">
        <v>8329870706.6499996</v>
      </c>
      <c r="AC3" s="11">
        <f>'2020'!AA3/356</f>
        <v>134485860.92863879</v>
      </c>
      <c r="AD3" s="11">
        <f t="shared" ref="AD3:AD38" si="1">AB3/356</f>
        <v>23398513.220926967</v>
      </c>
    </row>
    <row r="4" spans="1:30" ht="18" customHeight="1" x14ac:dyDescent="0.35">
      <c r="A4" s="4">
        <v>3</v>
      </c>
      <c r="B4" s="5" t="s">
        <v>28</v>
      </c>
      <c r="C4" s="6">
        <v>12966616420.5534</v>
      </c>
      <c r="D4" s="6">
        <v>14247593442.693399</v>
      </c>
      <c r="E4" s="6">
        <v>12530035039.691099</v>
      </c>
      <c r="F4" s="6">
        <v>13807999738.8811</v>
      </c>
      <c r="G4" s="6">
        <v>15958620851.316601</v>
      </c>
      <c r="H4" s="6">
        <v>17236585550.506599</v>
      </c>
      <c r="I4" s="6">
        <v>11222671346.3339</v>
      </c>
      <c r="J4" s="6">
        <v>12500636045.523899</v>
      </c>
      <c r="K4" s="6">
        <v>11365257230.0509</v>
      </c>
      <c r="L4" s="6">
        <v>12363978976.0809</v>
      </c>
      <c r="M4" s="6">
        <v>9882221183.0718002</v>
      </c>
      <c r="N4" s="6">
        <v>10880942929.101801</v>
      </c>
      <c r="O4" s="6">
        <v>13273121093.856501</v>
      </c>
      <c r="P4" s="6">
        <v>14271842839.886499</v>
      </c>
      <c r="Q4" s="6">
        <v>10334320966.272301</v>
      </c>
      <c r="R4" s="6">
        <v>11348796042.612301</v>
      </c>
      <c r="S4" s="6">
        <v>12316725455.121599</v>
      </c>
      <c r="T4" s="6">
        <v>13331200531.461599</v>
      </c>
      <c r="U4" s="6">
        <v>10824121621.9023</v>
      </c>
      <c r="V4" s="6">
        <v>11838596698.2423</v>
      </c>
      <c r="W4" s="6">
        <v>10479861810.8873</v>
      </c>
      <c r="X4" s="6">
        <v>11494336887.227301</v>
      </c>
      <c r="Y4" s="6">
        <v>10324664068.280001</v>
      </c>
      <c r="Z4" s="6">
        <v>11276316478.889999</v>
      </c>
      <c r="AA4" s="10">
        <f t="shared" si="0"/>
        <v>141478237087.33771</v>
      </c>
      <c r="AB4" s="11">
        <v>30696770278.09</v>
      </c>
      <c r="AC4" s="11">
        <f>'2020'!AA4/356</f>
        <v>397410778.33521825</v>
      </c>
      <c r="AD4" s="11">
        <f t="shared" si="1"/>
        <v>86226882.803623602</v>
      </c>
    </row>
    <row r="5" spans="1:30" ht="18" customHeight="1" x14ac:dyDescent="0.35">
      <c r="A5" s="4">
        <v>4</v>
      </c>
      <c r="B5" s="5" t="s">
        <v>29</v>
      </c>
      <c r="C5" s="6">
        <v>4204103117.3877001</v>
      </c>
      <c r="D5" s="6">
        <v>4495440207.2876997</v>
      </c>
      <c r="E5" s="6">
        <v>3531528916.5113001</v>
      </c>
      <c r="F5" s="6">
        <v>4046305262.8613</v>
      </c>
      <c r="G5" s="6">
        <v>4086732868.5444999</v>
      </c>
      <c r="H5" s="6">
        <v>4601509214.8945007</v>
      </c>
      <c r="I5" s="6">
        <v>3847297340.4257998</v>
      </c>
      <c r="J5" s="6">
        <v>4255005591.3558002</v>
      </c>
      <c r="K5" s="6">
        <v>3707004349.0830002</v>
      </c>
      <c r="L5" s="6">
        <v>3872172825.013</v>
      </c>
      <c r="M5" s="6">
        <v>4523547759.6664009</v>
      </c>
      <c r="N5" s="6">
        <v>4688716235.5963993</v>
      </c>
      <c r="O5" s="6">
        <v>4733987459.0268002</v>
      </c>
      <c r="P5" s="6">
        <v>4899155934.9568005</v>
      </c>
      <c r="Q5" s="6">
        <v>4887442237.2861004</v>
      </c>
      <c r="R5" s="6">
        <v>5068264747.8961</v>
      </c>
      <c r="S5" s="6">
        <v>4597857310.9628</v>
      </c>
      <c r="T5" s="6">
        <v>4778679821.5727997</v>
      </c>
      <c r="U5" s="6">
        <v>4063007891.9249001</v>
      </c>
      <c r="V5" s="6">
        <v>4243830402.5349011</v>
      </c>
      <c r="W5" s="6">
        <v>4134911353.8874011</v>
      </c>
      <c r="X5" s="6">
        <v>4315733864.4974003</v>
      </c>
      <c r="Y5" s="6">
        <v>4433106071.4264002</v>
      </c>
      <c r="Z5" s="6">
        <v>4614705381.6264</v>
      </c>
      <c r="AA5" s="10">
        <f t="shared" si="0"/>
        <v>50750526676.133102</v>
      </c>
      <c r="AB5" s="11">
        <v>28009906580.48</v>
      </c>
      <c r="AC5" s="11">
        <f>'2020'!AA5/356</f>
        <v>142557659.20262107</v>
      </c>
      <c r="AD5" s="11">
        <f t="shared" si="1"/>
        <v>78679512.866516858</v>
      </c>
    </row>
    <row r="6" spans="1:30" ht="18" customHeight="1" x14ac:dyDescent="0.35">
      <c r="A6" s="4">
        <v>5</v>
      </c>
      <c r="B6" s="5" t="s">
        <v>30</v>
      </c>
      <c r="C6" s="6">
        <v>3977885250.6594992</v>
      </c>
      <c r="D6" s="6">
        <v>5219769304.0594997</v>
      </c>
      <c r="E6" s="6">
        <v>3419540770.4383011</v>
      </c>
      <c r="F6" s="6">
        <v>4690280669.5482998</v>
      </c>
      <c r="G6" s="6">
        <v>4056767047.249701</v>
      </c>
      <c r="H6" s="6">
        <v>5327506946.3597002</v>
      </c>
      <c r="I6" s="6">
        <v>3697166425.6159</v>
      </c>
      <c r="J6" s="6">
        <v>4967906324.7258997</v>
      </c>
      <c r="K6" s="6">
        <v>3518098907.0756001</v>
      </c>
      <c r="L6" s="6">
        <v>4468840723.9155998</v>
      </c>
      <c r="M6" s="6">
        <v>4488178249.2187004</v>
      </c>
      <c r="N6" s="6">
        <v>5438920066.0587006</v>
      </c>
      <c r="O6" s="6">
        <v>4633297619.3781004</v>
      </c>
      <c r="P6" s="6">
        <v>5584039436.2180996</v>
      </c>
      <c r="Q6" s="6">
        <v>4741621421.1767006</v>
      </c>
      <c r="R6" s="6">
        <v>5727616513.5267</v>
      </c>
      <c r="S6" s="6">
        <v>4408112881.9435015</v>
      </c>
      <c r="T6" s="6">
        <v>5394107974.2934999</v>
      </c>
      <c r="U6" s="6">
        <v>3872668192.0616999</v>
      </c>
      <c r="V6" s="6">
        <v>4837130732.0816994</v>
      </c>
      <c r="W6" s="6">
        <v>3928080952.1943998</v>
      </c>
      <c r="X6" s="6">
        <v>4892543492.2144003</v>
      </c>
      <c r="Y6" s="6">
        <v>4115275178.8301001</v>
      </c>
      <c r="Z6" s="6">
        <v>5080514518.4400997</v>
      </c>
      <c r="AA6" s="10">
        <f t="shared" si="0"/>
        <v>48856692895.842201</v>
      </c>
      <c r="AB6" s="11">
        <v>13039294812.42</v>
      </c>
      <c r="AC6" s="11">
        <f>'2020'!AA6/356</f>
        <v>137237901.39281517</v>
      </c>
      <c r="AD6" s="11">
        <f t="shared" si="1"/>
        <v>36627232.619157307</v>
      </c>
    </row>
    <row r="7" spans="1:30" ht="18" customHeight="1" x14ac:dyDescent="0.35">
      <c r="A7" s="4">
        <v>6</v>
      </c>
      <c r="B7" s="5" t="s">
        <v>31</v>
      </c>
      <c r="C7" s="6">
        <v>11784120460.203501</v>
      </c>
      <c r="D7" s="6">
        <v>13391565286.2335</v>
      </c>
      <c r="E7" s="6">
        <v>10689034174.9743</v>
      </c>
      <c r="F7" s="6">
        <v>12162920353.834299</v>
      </c>
      <c r="G7" s="6">
        <v>12789802069.898701</v>
      </c>
      <c r="H7" s="6">
        <v>14263688248.758699</v>
      </c>
      <c r="I7" s="6">
        <v>9383800893.2730999</v>
      </c>
      <c r="J7" s="6">
        <v>10624353738.803101</v>
      </c>
      <c r="K7" s="6">
        <v>8930830511.6006012</v>
      </c>
      <c r="L7" s="6">
        <v>9971260591.3606014</v>
      </c>
      <c r="M7" s="6">
        <v>8849594986.6262016</v>
      </c>
      <c r="N7" s="6">
        <v>9856691733.0561981</v>
      </c>
      <c r="O7" s="6">
        <v>11186365150.068199</v>
      </c>
      <c r="P7" s="6">
        <v>12193461896.498199</v>
      </c>
      <c r="Q7" s="6">
        <v>8333361532.4041004</v>
      </c>
      <c r="R7" s="6">
        <v>10285862949.174101</v>
      </c>
      <c r="S7" s="6">
        <v>8211004434.8095999</v>
      </c>
      <c r="T7" s="6">
        <v>10163505851.579599</v>
      </c>
      <c r="U7" s="6">
        <v>6757541393.7382994</v>
      </c>
      <c r="V7" s="6">
        <v>8710042810.5082989</v>
      </c>
      <c r="W7" s="6">
        <v>6820278821.0366993</v>
      </c>
      <c r="X7" s="6">
        <v>8772780237.8066998</v>
      </c>
      <c r="Y7" s="6">
        <v>7510392208.8500004</v>
      </c>
      <c r="Z7" s="6">
        <v>9463670425.210001</v>
      </c>
      <c r="AA7" s="10">
        <f t="shared" si="0"/>
        <v>111246126637.48332</v>
      </c>
      <c r="AB7" s="11">
        <v>12180775143</v>
      </c>
      <c r="AC7" s="11">
        <f>'2020'!AA7/356</f>
        <v>312489119.7682116</v>
      </c>
      <c r="AD7" s="11">
        <f t="shared" si="1"/>
        <v>34215660.51404494</v>
      </c>
    </row>
    <row r="8" spans="1:30" ht="18" customHeight="1" x14ac:dyDescent="0.35">
      <c r="A8" s="4">
        <v>7</v>
      </c>
      <c r="B8" s="5" t="s">
        <v>32</v>
      </c>
      <c r="C8" s="6">
        <v>3271337253.9351001</v>
      </c>
      <c r="D8" s="6">
        <v>4925768341.2650995</v>
      </c>
      <c r="E8" s="6">
        <v>3249520736.2291999</v>
      </c>
      <c r="F8" s="6">
        <v>4404424537.3792</v>
      </c>
      <c r="G8" s="6">
        <v>3848404388.6387</v>
      </c>
      <c r="H8" s="6">
        <v>5003308189.7887001</v>
      </c>
      <c r="I8" s="6">
        <v>3517186584.497601</v>
      </c>
      <c r="J8" s="6">
        <v>4672090385.6476002</v>
      </c>
      <c r="K8" s="6">
        <v>3415567217.9531002</v>
      </c>
      <c r="L8" s="6">
        <v>4215438507.8431001</v>
      </c>
      <c r="M8" s="6">
        <v>4304654814.4478998</v>
      </c>
      <c r="N8" s="6">
        <v>5104526104.3379002</v>
      </c>
      <c r="O8" s="6">
        <v>4450869565.3034</v>
      </c>
      <c r="P8" s="6">
        <v>5250740855.1934004</v>
      </c>
      <c r="Q8" s="6">
        <v>4639077402.0289001</v>
      </c>
      <c r="R8" s="6">
        <v>5443577164.7889004</v>
      </c>
      <c r="S8" s="6">
        <v>4265223236.5763001</v>
      </c>
      <c r="T8" s="6">
        <v>5069722999.3362999</v>
      </c>
      <c r="U8" s="6">
        <v>3764686229.1466999</v>
      </c>
      <c r="V8" s="6">
        <v>4569185991.9067001</v>
      </c>
      <c r="W8" s="6">
        <v>3800142575.5163999</v>
      </c>
      <c r="X8" s="6">
        <v>4604642338.2764006</v>
      </c>
      <c r="Y8" s="6">
        <v>3969437707.5317001</v>
      </c>
      <c r="Z8" s="6">
        <v>4774714269.8816996</v>
      </c>
      <c r="AA8" s="10">
        <f t="shared" si="0"/>
        <v>46496107711.805</v>
      </c>
      <c r="AB8" s="11">
        <v>10463674280.73</v>
      </c>
      <c r="AC8" s="11">
        <f>'2020'!AA8/356</f>
        <v>130607044.13428371</v>
      </c>
      <c r="AD8" s="11">
        <f t="shared" si="1"/>
        <v>29392343.485196628</v>
      </c>
    </row>
    <row r="9" spans="1:30" ht="18" customHeight="1" x14ac:dyDescent="0.35">
      <c r="A9" s="4">
        <v>8</v>
      </c>
      <c r="B9" s="5" t="s">
        <v>33</v>
      </c>
      <c r="C9" s="6">
        <v>4839938781.6113005</v>
      </c>
      <c r="D9" s="6">
        <v>5332559791.0312996</v>
      </c>
      <c r="E9" s="6">
        <v>4253668886.198</v>
      </c>
      <c r="F9" s="6">
        <v>4782074960.1879997</v>
      </c>
      <c r="G9" s="6">
        <v>4903141708.4566002</v>
      </c>
      <c r="H9" s="6">
        <v>5431547782.4466</v>
      </c>
      <c r="I9" s="6">
        <v>4525867538.3647003</v>
      </c>
      <c r="J9" s="6">
        <v>5054273612.3547001</v>
      </c>
      <c r="K9" s="6">
        <v>4492268558.4666996</v>
      </c>
      <c r="L9" s="6">
        <v>4545036387.7867002</v>
      </c>
      <c r="M9" s="6">
        <v>5405690601.8016005</v>
      </c>
      <c r="N9" s="6">
        <v>5520881868.6216011</v>
      </c>
      <c r="O9" s="6">
        <v>5596135608.6272001</v>
      </c>
      <c r="P9" s="6">
        <v>5669711250.4472008</v>
      </c>
      <c r="Q9" s="6">
        <v>5737817011.0569992</v>
      </c>
      <c r="R9" s="6">
        <v>5817112449.427</v>
      </c>
      <c r="S9" s="6">
        <v>5378986309.0153999</v>
      </c>
      <c r="T9" s="6">
        <v>5458281747.3853998</v>
      </c>
      <c r="U9" s="6">
        <v>4848601416.4594994</v>
      </c>
      <c r="V9" s="6">
        <v>4927896854.8295002</v>
      </c>
      <c r="W9" s="6">
        <v>4812159322.4807997</v>
      </c>
      <c r="X9" s="6">
        <v>4898954760.8507996</v>
      </c>
      <c r="Y9" s="6">
        <v>5112488537.3078995</v>
      </c>
      <c r="Z9" s="6">
        <v>5200060775.2679005</v>
      </c>
      <c r="AA9" s="10">
        <f t="shared" si="0"/>
        <v>59906764279.846695</v>
      </c>
      <c r="AB9" s="11">
        <v>11811333359.959999</v>
      </c>
      <c r="AC9" s="11">
        <f>'2020'!AA9/356</f>
        <v>168277427.75237834</v>
      </c>
      <c r="AD9" s="11">
        <f t="shared" si="1"/>
        <v>33177902.696516853</v>
      </c>
    </row>
    <row r="10" spans="1:30" ht="18" customHeight="1" x14ac:dyDescent="0.35">
      <c r="A10" s="4">
        <v>9</v>
      </c>
      <c r="B10" s="5" t="s">
        <v>34</v>
      </c>
      <c r="C10" s="6">
        <v>2740216192.4127002</v>
      </c>
      <c r="D10" s="6">
        <v>4391058971.0226994</v>
      </c>
      <c r="E10" s="6">
        <v>2178163428.9376001</v>
      </c>
      <c r="F10" s="6">
        <v>3936854526.6076002</v>
      </c>
      <c r="G10" s="6">
        <v>2707510740.8336</v>
      </c>
      <c r="H10" s="6">
        <v>4466201838.5036001</v>
      </c>
      <c r="I10" s="6">
        <v>2446235316.9308</v>
      </c>
      <c r="J10" s="6">
        <v>4204926414.600801</v>
      </c>
      <c r="K10" s="6">
        <v>2259401088.2491002</v>
      </c>
      <c r="L10" s="6">
        <v>3743417607.0191002</v>
      </c>
      <c r="M10" s="6">
        <v>3072329363.2793002</v>
      </c>
      <c r="N10" s="6">
        <v>4556345882.0492992</v>
      </c>
      <c r="O10" s="6">
        <v>3191490070.3606</v>
      </c>
      <c r="P10" s="6">
        <v>4675506589.1306</v>
      </c>
      <c r="Q10" s="6">
        <v>3237597099.3534999</v>
      </c>
      <c r="R10" s="6">
        <v>4810931954.4534998</v>
      </c>
      <c r="S10" s="6">
        <v>2942130548.153501</v>
      </c>
      <c r="T10" s="6">
        <v>4515465403.2535</v>
      </c>
      <c r="U10" s="6">
        <v>2498253160.0893002</v>
      </c>
      <c r="V10" s="6">
        <v>4071588015.1893001</v>
      </c>
      <c r="W10" s="6">
        <v>2523286692.9344001</v>
      </c>
      <c r="X10" s="6">
        <v>4096621548.0344</v>
      </c>
      <c r="Y10" s="6">
        <v>2741114483.6567001</v>
      </c>
      <c r="Z10" s="6">
        <v>4315226138.3466997</v>
      </c>
      <c r="AA10" s="10">
        <f t="shared" si="0"/>
        <v>32537728185.191097</v>
      </c>
      <c r="AB10" s="11">
        <v>16355595469.08</v>
      </c>
      <c r="AC10" s="11">
        <f>'2020'!AA10/356</f>
        <v>91398112.879750267</v>
      </c>
      <c r="AD10" s="11">
        <f t="shared" si="1"/>
        <v>45942683.901910111</v>
      </c>
    </row>
    <row r="11" spans="1:30" ht="18" customHeight="1" x14ac:dyDescent="0.35">
      <c r="A11" s="4">
        <v>10</v>
      </c>
      <c r="B11" s="5" t="s">
        <v>35</v>
      </c>
      <c r="C11" s="6">
        <v>16905897936.2211</v>
      </c>
      <c r="D11" s="6">
        <v>18319115559.5411</v>
      </c>
      <c r="E11" s="6">
        <v>17028967993.506399</v>
      </c>
      <c r="F11" s="6">
        <v>18446640351.6264</v>
      </c>
      <c r="G11" s="6">
        <v>20116074673.192902</v>
      </c>
      <c r="H11" s="6">
        <v>21533747031.312901</v>
      </c>
      <c r="I11" s="6">
        <v>14376105061.534201</v>
      </c>
      <c r="J11" s="6">
        <v>15793777419.6542</v>
      </c>
      <c r="K11" s="6">
        <v>14296085827.875099</v>
      </c>
      <c r="L11" s="6">
        <v>15336114010.795099</v>
      </c>
      <c r="M11" s="6">
        <v>12261888948.252199</v>
      </c>
      <c r="N11" s="6">
        <v>13301917131.172199</v>
      </c>
      <c r="O11" s="6">
        <v>16945898369.5611</v>
      </c>
      <c r="P11" s="6">
        <v>17985926552.481098</v>
      </c>
      <c r="Q11" s="6">
        <v>13871095425.4207</v>
      </c>
      <c r="R11" s="6">
        <v>14825086883.2507</v>
      </c>
      <c r="S11" s="6">
        <v>15421778115.883301</v>
      </c>
      <c r="T11" s="6">
        <v>16375769573.713301</v>
      </c>
      <c r="U11" s="6">
        <v>14032263257.389799</v>
      </c>
      <c r="V11" s="6">
        <v>14986254715.219801</v>
      </c>
      <c r="W11" s="6">
        <v>13481288552.363701</v>
      </c>
      <c r="X11" s="6">
        <v>14546530010.183701</v>
      </c>
      <c r="Y11" s="6">
        <v>13450746624.610001</v>
      </c>
      <c r="Z11" s="6">
        <v>14516764882.02</v>
      </c>
      <c r="AA11" s="10">
        <f t="shared" si="0"/>
        <v>182188090785.81055</v>
      </c>
      <c r="AB11" s="11">
        <v>59732882662.970001</v>
      </c>
      <c r="AC11" s="11">
        <f>'2020'!AA11/356</f>
        <v>511764299.96014196</v>
      </c>
      <c r="AD11" s="11">
        <f t="shared" si="1"/>
        <v>167788996.24429774</v>
      </c>
    </row>
    <row r="12" spans="1:30" ht="18" customHeight="1" x14ac:dyDescent="0.35">
      <c r="A12" s="4">
        <v>11</v>
      </c>
      <c r="B12" s="5" t="s">
        <v>36</v>
      </c>
      <c r="C12" s="6">
        <v>3534888054.9338002</v>
      </c>
      <c r="D12" s="6">
        <v>3998348626.9647002</v>
      </c>
      <c r="E12" s="6">
        <v>3097097403.1975999</v>
      </c>
      <c r="F12" s="6">
        <v>3557894918.5943999</v>
      </c>
      <c r="G12" s="6">
        <v>3674938037.6645999</v>
      </c>
      <c r="H12" s="6">
        <v>4136077497.1753998</v>
      </c>
      <c r="I12" s="6">
        <v>3378582278.6346002</v>
      </c>
      <c r="J12" s="6">
        <v>3833984867.3748999</v>
      </c>
      <c r="K12" s="6">
        <v>3244620061.2364001</v>
      </c>
      <c r="L12" s="6">
        <v>3454291267.7028999</v>
      </c>
      <c r="M12" s="6">
        <v>3955323976.2747989</v>
      </c>
      <c r="N12" s="6">
        <v>4166151660.5770001</v>
      </c>
      <c r="O12" s="6">
        <v>4095607474.4176002</v>
      </c>
      <c r="P12" s="6">
        <v>4312830525.0107002</v>
      </c>
      <c r="Q12" s="6">
        <v>4176985009.0795002</v>
      </c>
      <c r="R12" s="6">
        <v>4416505078.6194</v>
      </c>
      <c r="S12" s="6">
        <v>3927276735.2308002</v>
      </c>
      <c r="T12" s="6">
        <v>4155929192.4247999</v>
      </c>
      <c r="U12" s="6">
        <v>3491244627.9808998</v>
      </c>
      <c r="V12" s="6">
        <v>3721051606.1809011</v>
      </c>
      <c r="W12" s="6">
        <v>3526459527.1823001</v>
      </c>
      <c r="X12" s="6">
        <v>3758581281.23</v>
      </c>
      <c r="Y12" s="6">
        <v>3778910112.8745999</v>
      </c>
      <c r="Z12" s="6">
        <v>4011728419.276</v>
      </c>
      <c r="AA12" s="10">
        <f t="shared" si="0"/>
        <v>43881933298.707497</v>
      </c>
      <c r="AB12" s="11">
        <v>15896853554.48</v>
      </c>
      <c r="AC12" s="11">
        <f>'2020'!AA12/356</f>
        <v>123263857.58063903</v>
      </c>
      <c r="AD12" s="11">
        <f t="shared" si="1"/>
        <v>44654083.018202245</v>
      </c>
    </row>
    <row r="13" spans="1:30" ht="18" customHeight="1" x14ac:dyDescent="0.35">
      <c r="A13" s="4">
        <v>12</v>
      </c>
      <c r="B13" s="5" t="s">
        <v>37</v>
      </c>
      <c r="C13" s="6">
        <v>5063066834.0980005</v>
      </c>
      <c r="D13" s="6">
        <v>5809760126.578001</v>
      </c>
      <c r="E13" s="6">
        <v>4395912870.7078009</v>
      </c>
      <c r="F13" s="6">
        <v>5250835319.4278002</v>
      </c>
      <c r="G13" s="6">
        <v>5118224021.8051987</v>
      </c>
      <c r="H13" s="6">
        <v>5897116397.7351999</v>
      </c>
      <c r="I13" s="6">
        <v>4279769515.4744</v>
      </c>
      <c r="J13" s="6">
        <v>5058661891.4043999</v>
      </c>
      <c r="K13" s="6">
        <v>4292964942.3568001</v>
      </c>
      <c r="L13" s="6">
        <v>4685882137.8568001</v>
      </c>
      <c r="M13" s="6">
        <v>4908361305.6449003</v>
      </c>
      <c r="N13" s="6">
        <v>5301278501.1449003</v>
      </c>
      <c r="O13" s="6">
        <v>5588897255.5482998</v>
      </c>
      <c r="P13" s="6">
        <v>5981814451.0482998</v>
      </c>
      <c r="Q13" s="6">
        <v>5228111149.5785999</v>
      </c>
      <c r="R13" s="6">
        <v>5644960418.9586</v>
      </c>
      <c r="S13" s="6">
        <v>4991053355.2348003</v>
      </c>
      <c r="T13" s="6">
        <v>5407902624.6148005</v>
      </c>
      <c r="U13" s="6">
        <v>4466202552.6821003</v>
      </c>
      <c r="V13" s="6">
        <v>4883051822.0621004</v>
      </c>
      <c r="W13" s="6">
        <v>4617508276.0743999</v>
      </c>
      <c r="X13" s="6">
        <v>5034357545.4544001</v>
      </c>
      <c r="Y13" s="6">
        <v>4949415347.21</v>
      </c>
      <c r="Z13" s="6">
        <v>5367041416.1800003</v>
      </c>
      <c r="AA13" s="10">
        <f t="shared" si="0"/>
        <v>57899487426.415298</v>
      </c>
      <c r="AB13" s="11">
        <v>28017309192.619999</v>
      </c>
      <c r="AC13" s="11">
        <f>'2020'!AA13/356</f>
        <v>162639009.62476209</v>
      </c>
      <c r="AD13" s="11">
        <f t="shared" si="1"/>
        <v>78700306.720842689</v>
      </c>
    </row>
    <row r="14" spans="1:30" ht="18" customHeight="1" x14ac:dyDescent="0.35">
      <c r="A14" s="4">
        <v>13</v>
      </c>
      <c r="B14" s="5" t="s">
        <v>38</v>
      </c>
      <c r="C14" s="6">
        <v>3154913813.6357999</v>
      </c>
      <c r="D14" s="6">
        <v>3962076844.1557999</v>
      </c>
      <c r="E14" s="6">
        <v>2770437251.6989002</v>
      </c>
      <c r="F14" s="6">
        <v>3548933666.4088998</v>
      </c>
      <c r="G14" s="6">
        <v>3258778759.5142002</v>
      </c>
      <c r="H14" s="6">
        <v>4037275174.2241998</v>
      </c>
      <c r="I14" s="6">
        <v>2918667169.1082001</v>
      </c>
      <c r="J14" s="6">
        <v>3739276083.8182001</v>
      </c>
      <c r="K14" s="6">
        <v>2942045972.5086999</v>
      </c>
      <c r="L14" s="6">
        <v>3391597045.1887002</v>
      </c>
      <c r="M14" s="6">
        <v>3589425183.9207001</v>
      </c>
      <c r="N14" s="6">
        <v>4140402915.0207</v>
      </c>
      <c r="O14" s="6">
        <v>3679715431.6652999</v>
      </c>
      <c r="P14" s="6">
        <v>4230693162.7652998</v>
      </c>
      <c r="Q14" s="6">
        <v>3792048009.5481</v>
      </c>
      <c r="R14" s="6">
        <v>4402417368.8580999</v>
      </c>
      <c r="S14" s="6">
        <v>3598040282.2954011</v>
      </c>
      <c r="T14" s="6">
        <v>4157696312.3954</v>
      </c>
      <c r="U14" s="6">
        <v>3135637766.3983998</v>
      </c>
      <c r="V14" s="6">
        <v>3695293796.4984002</v>
      </c>
      <c r="W14" s="6">
        <v>3163417841.5309</v>
      </c>
      <c r="X14" s="6">
        <v>3723073871.630899</v>
      </c>
      <c r="Y14" s="6">
        <v>3465089462.6011</v>
      </c>
      <c r="Z14" s="6">
        <v>3923064292.2810998</v>
      </c>
      <c r="AA14" s="10">
        <f t="shared" si="0"/>
        <v>39468216944.425697</v>
      </c>
      <c r="AB14" s="11">
        <v>10557553945.049999</v>
      </c>
      <c r="AC14" s="11">
        <f>'2020'!AA14/356</f>
        <v>110865777.93378004</v>
      </c>
      <c r="AD14" s="11">
        <f t="shared" si="1"/>
        <v>29656050.407443818</v>
      </c>
    </row>
    <row r="15" spans="1:30" ht="18" customHeight="1" x14ac:dyDescent="0.35">
      <c r="A15" s="4">
        <v>14</v>
      </c>
      <c r="B15" s="5" t="s">
        <v>39</v>
      </c>
      <c r="C15" s="6">
        <v>4093132749.2568998</v>
      </c>
      <c r="D15" s="6">
        <v>4518678819.0969</v>
      </c>
      <c r="E15" s="6">
        <v>3538940075.688601</v>
      </c>
      <c r="F15" s="6">
        <v>3993728176.708601</v>
      </c>
      <c r="G15" s="6">
        <v>4184060195.5527</v>
      </c>
      <c r="H15" s="6">
        <v>4638848296.5726995</v>
      </c>
      <c r="I15" s="6">
        <v>3758019838.6433001</v>
      </c>
      <c r="J15" s="6">
        <v>4212807939.6633</v>
      </c>
      <c r="K15" s="6">
        <v>3663230882.3053989</v>
      </c>
      <c r="L15" s="6">
        <v>3837627737.3653989</v>
      </c>
      <c r="M15" s="6">
        <v>4482741002.1934004</v>
      </c>
      <c r="N15" s="6">
        <v>4657137857.2533998</v>
      </c>
      <c r="O15" s="6">
        <v>4576279576.0088997</v>
      </c>
      <c r="P15" s="6">
        <v>4750676431.0689001</v>
      </c>
      <c r="Q15" s="6">
        <v>4706400075.1430998</v>
      </c>
      <c r="R15" s="6">
        <v>4899362479.4231005</v>
      </c>
      <c r="S15" s="6">
        <v>4432711500.3206015</v>
      </c>
      <c r="T15" s="6">
        <v>4625673904.6005993</v>
      </c>
      <c r="U15" s="6">
        <v>3964398962.0208011</v>
      </c>
      <c r="V15" s="6">
        <v>4157361366.3007998</v>
      </c>
      <c r="W15" s="6">
        <v>4032428524.625299</v>
      </c>
      <c r="X15" s="6">
        <v>4225390928.9053001</v>
      </c>
      <c r="Y15" s="6">
        <v>4248578615.3169012</v>
      </c>
      <c r="Z15" s="6">
        <v>4442317819.1869011</v>
      </c>
      <c r="AA15" s="10">
        <f t="shared" si="0"/>
        <v>49680921997.075897</v>
      </c>
      <c r="AB15" s="11">
        <v>23644698591</v>
      </c>
      <c r="AC15" s="11">
        <f>'2020'!AA15/356</f>
        <v>139553151.67717949</v>
      </c>
      <c r="AD15" s="11">
        <f t="shared" si="1"/>
        <v>66417692.671348311</v>
      </c>
    </row>
    <row r="16" spans="1:30" ht="18" customHeight="1" x14ac:dyDescent="0.35">
      <c r="A16" s="4">
        <v>15</v>
      </c>
      <c r="B16" s="5" t="s">
        <v>40</v>
      </c>
      <c r="C16" s="6">
        <v>3197398397.3302999</v>
      </c>
      <c r="D16" s="6">
        <v>4162553230.7203002</v>
      </c>
      <c r="E16" s="6">
        <v>2717195104.4218001</v>
      </c>
      <c r="F16" s="6">
        <v>3687695118.5918002</v>
      </c>
      <c r="G16" s="6">
        <v>3219018261.4057002</v>
      </c>
      <c r="H16" s="6">
        <v>4189518275.5756998</v>
      </c>
      <c r="I16" s="6">
        <v>2949945774.507</v>
      </c>
      <c r="J16" s="6">
        <v>3920445788.677</v>
      </c>
      <c r="K16" s="6">
        <v>2844432656.4299998</v>
      </c>
      <c r="L16" s="6">
        <v>3527406597.8099999</v>
      </c>
      <c r="M16" s="6">
        <v>3618647065.1353002</v>
      </c>
      <c r="N16" s="6">
        <v>4301621006.5152998</v>
      </c>
      <c r="O16" s="6">
        <v>3830994815.3586001</v>
      </c>
      <c r="P16" s="6">
        <v>4403638430.8285999</v>
      </c>
      <c r="Q16" s="6">
        <v>3918757925.1452999</v>
      </c>
      <c r="R16" s="6">
        <v>4533027318.4352999</v>
      </c>
      <c r="S16" s="6">
        <v>3627404025.7884002</v>
      </c>
      <c r="T16" s="6">
        <v>4241673419.0784001</v>
      </c>
      <c r="U16" s="6">
        <v>3232368323.6718998</v>
      </c>
      <c r="V16" s="6">
        <v>3846637716.9619002</v>
      </c>
      <c r="W16" s="6">
        <v>3200729567.6009002</v>
      </c>
      <c r="X16" s="6">
        <v>3836916771.0208998</v>
      </c>
      <c r="Y16" s="6">
        <v>3349168167.5509</v>
      </c>
      <c r="Z16" s="6">
        <v>3986132170.5609002</v>
      </c>
      <c r="AA16" s="10">
        <f t="shared" si="0"/>
        <v>39706060084.3461</v>
      </c>
      <c r="AB16" s="11">
        <v>8637425194.3700008</v>
      </c>
      <c r="AC16" s="11">
        <f>'2020'!AA16/356</f>
        <v>111533876.64142163</v>
      </c>
      <c r="AD16" s="11">
        <f t="shared" si="1"/>
        <v>24262430.321264047</v>
      </c>
    </row>
    <row r="17" spans="1:30" ht="18" customHeight="1" x14ac:dyDescent="0.35">
      <c r="A17" s="4">
        <v>16</v>
      </c>
      <c r="B17" s="5" t="s">
        <v>41</v>
      </c>
      <c r="C17" s="6">
        <v>4392413731.2335997</v>
      </c>
      <c r="D17" s="6">
        <v>5453311658.5736008</v>
      </c>
      <c r="E17" s="6">
        <v>3995957277.1982002</v>
      </c>
      <c r="F17" s="6">
        <v>5059421557.0482006</v>
      </c>
      <c r="G17" s="6">
        <v>4872843310.7437</v>
      </c>
      <c r="H17" s="6">
        <v>5936307590.5937004</v>
      </c>
      <c r="I17" s="6">
        <v>4080012698.3425999</v>
      </c>
      <c r="J17" s="6">
        <v>5143476978.1926003</v>
      </c>
      <c r="K17" s="6">
        <v>4191230650.2874999</v>
      </c>
      <c r="L17" s="6">
        <v>4770970746.5974998</v>
      </c>
      <c r="M17" s="6">
        <v>4796537980.5292006</v>
      </c>
      <c r="N17" s="6">
        <v>5376278076.839201</v>
      </c>
      <c r="O17" s="6">
        <v>5347515575.3710995</v>
      </c>
      <c r="P17" s="6">
        <v>5927255671.6810999</v>
      </c>
      <c r="Q17" s="6">
        <v>5226192600.6328001</v>
      </c>
      <c r="R17" s="6">
        <v>5832133178.5428009</v>
      </c>
      <c r="S17" s="6">
        <v>5009476495.8179989</v>
      </c>
      <c r="T17" s="6">
        <v>5615417073.7279997</v>
      </c>
      <c r="U17" s="6">
        <v>4410419460.3527994</v>
      </c>
      <c r="V17" s="6">
        <v>5016360038.2628002</v>
      </c>
      <c r="W17" s="6">
        <v>4438083841.3906994</v>
      </c>
      <c r="X17" s="6">
        <v>5044024419.3007002</v>
      </c>
      <c r="Y17" s="6">
        <v>4674957453.04</v>
      </c>
      <c r="Z17" s="6">
        <v>5281674830.54</v>
      </c>
      <c r="AA17" s="10">
        <f t="shared" si="0"/>
        <v>55435641074.940193</v>
      </c>
      <c r="AB17" s="11">
        <v>7668385394.4499998</v>
      </c>
      <c r="AC17" s="11">
        <f>'2020'!AA17/356</f>
        <v>155718092.90713537</v>
      </c>
      <c r="AD17" s="11">
        <f t="shared" si="1"/>
        <v>21540408.411376406</v>
      </c>
    </row>
    <row r="18" spans="1:30" ht="18" customHeight="1" x14ac:dyDescent="0.35">
      <c r="A18" s="4">
        <v>17</v>
      </c>
      <c r="B18" s="5" t="s">
        <v>42</v>
      </c>
      <c r="C18" s="6">
        <v>4616670254.9631996</v>
      </c>
      <c r="D18" s="6">
        <v>4960809707.6032</v>
      </c>
      <c r="E18" s="6">
        <v>4079849888.3246999</v>
      </c>
      <c r="F18" s="6">
        <v>4428352870.9847002</v>
      </c>
      <c r="G18" s="6">
        <v>4672131348.0534</v>
      </c>
      <c r="H18" s="6">
        <v>5020634330.7133999</v>
      </c>
      <c r="I18" s="6">
        <v>4334190455.8915997</v>
      </c>
      <c r="J18" s="6">
        <v>4682693438.5516005</v>
      </c>
      <c r="K18" s="6">
        <v>4119186798.5482001</v>
      </c>
      <c r="L18" s="6">
        <v>4225150006.2082</v>
      </c>
      <c r="M18" s="6">
        <v>5017374542.9412003</v>
      </c>
      <c r="N18" s="6">
        <v>5123337750.6012001</v>
      </c>
      <c r="O18" s="6">
        <v>5166958290.3896999</v>
      </c>
      <c r="P18" s="6">
        <v>5272921498.0496998</v>
      </c>
      <c r="Q18" s="6">
        <v>5318665120.1950998</v>
      </c>
      <c r="R18" s="6">
        <v>5433738165.8850994</v>
      </c>
      <c r="S18" s="6">
        <v>4993551095.5107994</v>
      </c>
      <c r="T18" s="6">
        <v>5108624141.2007999</v>
      </c>
      <c r="U18" s="6">
        <v>4485276443.5487003</v>
      </c>
      <c r="V18" s="6">
        <v>4600349489.2386999</v>
      </c>
      <c r="W18" s="6">
        <v>4521733184.6198997</v>
      </c>
      <c r="X18" s="6">
        <v>4636806230.3099003</v>
      </c>
      <c r="Y18" s="6">
        <v>4764149595.2725</v>
      </c>
      <c r="Z18" s="6">
        <v>4879999440.5524998</v>
      </c>
      <c r="AA18" s="10">
        <f t="shared" si="0"/>
        <v>56089737018.258995</v>
      </c>
      <c r="AB18" s="11">
        <v>20659741133.310001</v>
      </c>
      <c r="AC18" s="11">
        <f>'2020'!AA18/356</f>
        <v>157555441.06252527</v>
      </c>
      <c r="AD18" s="11">
        <f t="shared" si="1"/>
        <v>58032980.711544946</v>
      </c>
    </row>
    <row r="19" spans="1:30" ht="18" customHeight="1" x14ac:dyDescent="0.35">
      <c r="A19" s="4">
        <v>18</v>
      </c>
      <c r="B19" s="5" t="s">
        <v>43</v>
      </c>
      <c r="C19" s="6">
        <v>5303958028.2109985</v>
      </c>
      <c r="D19" s="6">
        <v>5872502971.8109989</v>
      </c>
      <c r="E19" s="6">
        <v>4435722420.5030003</v>
      </c>
      <c r="F19" s="6">
        <v>5206113095.7930002</v>
      </c>
      <c r="G19" s="6">
        <v>5143532390.8204994</v>
      </c>
      <c r="H19" s="6">
        <v>5913923066.1105003</v>
      </c>
      <c r="I19" s="6">
        <v>4689480799.5314007</v>
      </c>
      <c r="J19" s="6">
        <v>5459871474.8214006</v>
      </c>
      <c r="K19" s="6">
        <v>4525281269.3371</v>
      </c>
      <c r="L19" s="6">
        <v>4939849828.4470997</v>
      </c>
      <c r="M19" s="6">
        <v>5669827544.7343006</v>
      </c>
      <c r="N19" s="6">
        <v>6084396103.8442993</v>
      </c>
      <c r="O19" s="6">
        <v>5765167459.1205997</v>
      </c>
      <c r="P19" s="6">
        <v>6179736018.2305994</v>
      </c>
      <c r="Q19" s="6">
        <v>5944498491.4559002</v>
      </c>
      <c r="R19" s="6">
        <v>6482159638.1259003</v>
      </c>
      <c r="S19" s="6">
        <v>5555123762.7020998</v>
      </c>
      <c r="T19" s="6">
        <v>6092784909.3720999</v>
      </c>
      <c r="U19" s="6">
        <v>4831749560.5646</v>
      </c>
      <c r="V19" s="6">
        <v>5369410707.2346001</v>
      </c>
      <c r="W19" s="6">
        <v>5193128337.7411003</v>
      </c>
      <c r="X19" s="6">
        <v>5730789484.4111004</v>
      </c>
      <c r="Y19" s="6">
        <v>5123997767.8579006</v>
      </c>
      <c r="Z19" s="6">
        <v>5662435714.1179008</v>
      </c>
      <c r="AA19" s="10">
        <f t="shared" si="0"/>
        <v>62181467832.579506</v>
      </c>
      <c r="AB19" s="11">
        <v>50768523407.339996</v>
      </c>
      <c r="AC19" s="11">
        <f>'2020'!AA19/356</f>
        <v>174667044.47353795</v>
      </c>
      <c r="AD19" s="11">
        <f t="shared" si="1"/>
        <v>142608211.81837079</v>
      </c>
    </row>
    <row r="20" spans="1:30" ht="18" customHeight="1" x14ac:dyDescent="0.35">
      <c r="A20" s="4">
        <v>19</v>
      </c>
      <c r="B20" s="5" t="s">
        <v>44</v>
      </c>
      <c r="C20" s="6">
        <v>6472671504.9586992</v>
      </c>
      <c r="D20" s="6">
        <v>7193137101.6886997</v>
      </c>
      <c r="E20" s="6">
        <v>5762522781.0711002</v>
      </c>
      <c r="F20" s="6">
        <v>6441165292.0811005</v>
      </c>
      <c r="G20" s="6">
        <v>6722553027.5670004</v>
      </c>
      <c r="H20" s="6">
        <v>7408284579.677</v>
      </c>
      <c r="I20" s="6">
        <v>6143891802.4654989</v>
      </c>
      <c r="J20" s="6">
        <v>6825164450.4654989</v>
      </c>
      <c r="K20" s="6">
        <v>5998164960.9700994</v>
      </c>
      <c r="L20" s="6">
        <v>6238906966.4201002</v>
      </c>
      <c r="M20" s="6">
        <v>7280386104.4906998</v>
      </c>
      <c r="N20" s="6">
        <v>7521128109.9407005</v>
      </c>
      <c r="O20" s="6">
        <v>7561346366.2507</v>
      </c>
      <c r="P20" s="6">
        <v>7802088371.7006998</v>
      </c>
      <c r="Q20" s="6">
        <v>7770618690.398201</v>
      </c>
      <c r="R20" s="6">
        <v>8038118702.3682003</v>
      </c>
      <c r="S20" s="6">
        <v>7287077943.4152985</v>
      </c>
      <c r="T20" s="6">
        <v>7554577955.3852997</v>
      </c>
      <c r="U20" s="6">
        <v>6540219203.0249004</v>
      </c>
      <c r="V20" s="6">
        <v>6807719214.9948997</v>
      </c>
      <c r="W20" s="6">
        <v>6578103901.8666992</v>
      </c>
      <c r="X20" s="6">
        <v>6845603913.8367004</v>
      </c>
      <c r="Y20" s="6">
        <v>6998132395.0131998</v>
      </c>
      <c r="Z20" s="6">
        <v>7366409206.5732002</v>
      </c>
      <c r="AA20" s="10">
        <f t="shared" si="0"/>
        <v>81115688681.492111</v>
      </c>
      <c r="AB20" s="11">
        <v>31819875211.740002</v>
      </c>
      <c r="AC20" s="11">
        <f>'2020'!AA20/356</f>
        <v>227853058.09407896</v>
      </c>
      <c r="AD20" s="11">
        <f t="shared" si="1"/>
        <v>89381671.943089887</v>
      </c>
    </row>
    <row r="21" spans="1:30" ht="18" customHeight="1" x14ac:dyDescent="0.35">
      <c r="A21" s="4">
        <v>20</v>
      </c>
      <c r="B21" s="5" t="s">
        <v>45</v>
      </c>
      <c r="C21" s="6">
        <v>4960628127.7735996</v>
      </c>
      <c r="D21" s="6">
        <v>5462193645.0235996</v>
      </c>
      <c r="E21" s="6">
        <v>4374992258.0723</v>
      </c>
      <c r="F21" s="6">
        <v>4894469273.9123001</v>
      </c>
      <c r="G21" s="6">
        <v>5155086603.4584007</v>
      </c>
      <c r="H21" s="6">
        <v>5563412142.6784</v>
      </c>
      <c r="I21" s="6">
        <v>4536928931.1597996</v>
      </c>
      <c r="J21" s="6">
        <v>5163223009.3797998</v>
      </c>
      <c r="K21" s="6">
        <v>4549096859.280201</v>
      </c>
      <c r="L21" s="6">
        <v>4701803243.4202003</v>
      </c>
      <c r="M21" s="6">
        <v>5523118038.8793001</v>
      </c>
      <c r="N21" s="6">
        <v>5675824423.0193005</v>
      </c>
      <c r="O21" s="6">
        <v>5683384958.9094</v>
      </c>
      <c r="P21" s="6">
        <v>5836091343.0494003</v>
      </c>
      <c r="Q21" s="6">
        <v>5905043257.3858995</v>
      </c>
      <c r="R21" s="6">
        <v>6101550397.5558996</v>
      </c>
      <c r="S21" s="6">
        <v>5450232316.4801998</v>
      </c>
      <c r="T21" s="6">
        <v>5646739456.6501999</v>
      </c>
      <c r="U21" s="6">
        <v>4893666060.9863005</v>
      </c>
      <c r="V21" s="6">
        <v>5090173201.1562996</v>
      </c>
      <c r="W21" s="6">
        <v>4927630232.6811008</v>
      </c>
      <c r="X21" s="6">
        <v>5124137372.8511</v>
      </c>
      <c r="Y21" s="6">
        <v>5197070183.6185999</v>
      </c>
      <c r="Z21" s="6">
        <v>5394354123.3785992</v>
      </c>
      <c r="AA21" s="10">
        <f t="shared" si="0"/>
        <v>61156877828.685097</v>
      </c>
      <c r="AB21" s="11">
        <v>11382579775</v>
      </c>
      <c r="AC21" s="11">
        <f>'2020'!AA21/356</f>
        <v>171788982.66484576</v>
      </c>
      <c r="AD21" s="11">
        <f t="shared" si="1"/>
        <v>31973538.693820223</v>
      </c>
    </row>
    <row r="22" spans="1:30" ht="18" customHeight="1" x14ac:dyDescent="0.35">
      <c r="A22" s="4">
        <v>21</v>
      </c>
      <c r="B22" s="5" t="s">
        <v>46</v>
      </c>
      <c r="C22" s="6">
        <v>4116328705.8428998</v>
      </c>
      <c r="D22" s="6">
        <v>4610990586.8529015</v>
      </c>
      <c r="E22" s="6">
        <v>3633956687.7070999</v>
      </c>
      <c r="F22" s="6">
        <v>4121086963.5170999</v>
      </c>
      <c r="G22" s="6">
        <v>4196190860.3427992</v>
      </c>
      <c r="H22" s="6">
        <v>4683321136.1527996</v>
      </c>
      <c r="I22" s="6">
        <v>3875358610.349</v>
      </c>
      <c r="J22" s="6">
        <v>4362488886.1590004</v>
      </c>
      <c r="K22" s="6">
        <v>3735011391.5777998</v>
      </c>
      <c r="L22" s="6">
        <v>3915897155.9777999</v>
      </c>
      <c r="M22" s="6">
        <v>4580718200.6072998</v>
      </c>
      <c r="N22" s="6">
        <v>4761603965.0073004</v>
      </c>
      <c r="O22" s="6">
        <v>4724953229.5542994</v>
      </c>
      <c r="P22" s="6">
        <v>4905838993.9542999</v>
      </c>
      <c r="Q22" s="6">
        <v>4943446210.2697001</v>
      </c>
      <c r="R22" s="6">
        <v>5061516162.5897007</v>
      </c>
      <c r="S22" s="6">
        <v>4610343344.1498003</v>
      </c>
      <c r="T22" s="6">
        <v>4728413296.4698</v>
      </c>
      <c r="U22" s="6">
        <v>4148123694.0918002</v>
      </c>
      <c r="V22" s="6">
        <v>4266193646.411799</v>
      </c>
      <c r="W22" s="6">
        <v>4144159328.0598001</v>
      </c>
      <c r="X22" s="6">
        <v>4262229280.3797998</v>
      </c>
      <c r="Y22" s="6">
        <v>4327463674.9445</v>
      </c>
      <c r="Z22" s="6">
        <v>4446310426.8544998</v>
      </c>
      <c r="AA22" s="10">
        <f t="shared" si="0"/>
        <v>51036053937.496796</v>
      </c>
      <c r="AB22" s="11">
        <v>13778260800.139999</v>
      </c>
      <c r="AC22" s="11">
        <f>'2020'!AA22/356</f>
        <v>143359702.07162023</v>
      </c>
      <c r="AD22" s="11">
        <f t="shared" si="1"/>
        <v>38702979.775674157</v>
      </c>
    </row>
    <row r="23" spans="1:30" ht="18" customHeight="1" x14ac:dyDescent="0.35">
      <c r="A23" s="4">
        <v>22</v>
      </c>
      <c r="B23" s="5" t="s">
        <v>47</v>
      </c>
      <c r="C23" s="6">
        <v>4010810751.4881001</v>
      </c>
      <c r="D23" s="6">
        <v>4768690351.0080996</v>
      </c>
      <c r="E23" s="6">
        <v>3494911216.3281002</v>
      </c>
      <c r="F23" s="6">
        <v>4269327945.1880999</v>
      </c>
      <c r="G23" s="6">
        <v>4078691569.9151001</v>
      </c>
      <c r="H23" s="6">
        <v>4853108298.7751007</v>
      </c>
      <c r="I23" s="6">
        <v>3918882577.8836002</v>
      </c>
      <c r="J23" s="6">
        <v>4693299306.7436008</v>
      </c>
      <c r="K23" s="6">
        <v>3624796222.2831001</v>
      </c>
      <c r="L23" s="6">
        <v>4066700580.5531001</v>
      </c>
      <c r="M23" s="6">
        <v>4505116760.9765015</v>
      </c>
      <c r="N23" s="6">
        <v>4947021119.2465</v>
      </c>
      <c r="O23" s="6">
        <v>4635693138.5545006</v>
      </c>
      <c r="P23" s="6">
        <v>5077597496.8245001</v>
      </c>
      <c r="Q23" s="6">
        <v>4814366770.2278004</v>
      </c>
      <c r="R23" s="6">
        <v>5263520622.7578001</v>
      </c>
      <c r="S23" s="6">
        <v>4435354535.8178997</v>
      </c>
      <c r="T23" s="6">
        <v>4884508388.3478994</v>
      </c>
      <c r="U23" s="6">
        <v>3990210783.100801</v>
      </c>
      <c r="V23" s="6">
        <v>4398647993.5207996</v>
      </c>
      <c r="W23" s="6">
        <v>4074757801.1613011</v>
      </c>
      <c r="X23" s="6">
        <v>4426557462.1613007</v>
      </c>
      <c r="Y23" s="6">
        <v>4217119514.5945001</v>
      </c>
      <c r="Z23" s="6">
        <v>4569695975.1844997</v>
      </c>
      <c r="AA23" s="10">
        <f t="shared" si="0"/>
        <v>49800711642.331306</v>
      </c>
      <c r="AB23" s="11">
        <v>17455219529</v>
      </c>
      <c r="AC23" s="11">
        <f>'2020'!AA23/356</f>
        <v>139889639.44475088</v>
      </c>
      <c r="AD23" s="11">
        <f t="shared" si="1"/>
        <v>49031515.530898876</v>
      </c>
    </row>
    <row r="24" spans="1:30" ht="18" customHeight="1" x14ac:dyDescent="0.35">
      <c r="A24" s="4">
        <v>23</v>
      </c>
      <c r="B24" s="5" t="s">
        <v>48</v>
      </c>
      <c r="C24" s="6">
        <v>3357244750.2964001</v>
      </c>
      <c r="D24" s="6">
        <v>3968007577.0163999</v>
      </c>
      <c r="E24" s="6">
        <v>2929931667.4157</v>
      </c>
      <c r="F24" s="6">
        <v>3543196178.775701</v>
      </c>
      <c r="G24" s="6">
        <v>3468216610.0148001</v>
      </c>
      <c r="H24" s="6">
        <v>4035796379.0948</v>
      </c>
      <c r="I24" s="6">
        <v>3163836769.4545989</v>
      </c>
      <c r="J24" s="6">
        <v>3731416538.5345998</v>
      </c>
      <c r="K24" s="6">
        <v>3092495479.521399</v>
      </c>
      <c r="L24" s="6">
        <v>3378658764.9014001</v>
      </c>
      <c r="M24" s="6">
        <v>3844952305.4545989</v>
      </c>
      <c r="N24" s="6">
        <v>4131115590.834599</v>
      </c>
      <c r="O24" s="6">
        <v>3931238532.5216999</v>
      </c>
      <c r="P24" s="6">
        <v>4217401817.9017</v>
      </c>
      <c r="Q24" s="6">
        <v>4044308294.4358001</v>
      </c>
      <c r="R24" s="6">
        <v>4354964947.1157999</v>
      </c>
      <c r="S24" s="6">
        <v>3779894487.7193999</v>
      </c>
      <c r="T24" s="6">
        <v>4090551140.3994002</v>
      </c>
      <c r="U24" s="6">
        <v>3415372533.308701</v>
      </c>
      <c r="V24" s="6">
        <v>3726029185.9887009</v>
      </c>
      <c r="W24" s="6">
        <v>3404683546.1701999</v>
      </c>
      <c r="X24" s="6">
        <v>3715340198.8502002</v>
      </c>
      <c r="Y24" s="6">
        <v>3576113211.8306012</v>
      </c>
      <c r="Z24" s="6">
        <v>3887546664.1005998</v>
      </c>
      <c r="AA24" s="10">
        <f t="shared" si="0"/>
        <v>42008288188.143898</v>
      </c>
      <c r="AB24" s="11">
        <v>19623992033.619999</v>
      </c>
      <c r="AC24" s="11">
        <f>'2020'!AA24/356</f>
        <v>118000809.51725814</v>
      </c>
      <c r="AD24" s="11">
        <f t="shared" si="1"/>
        <v>55123573.128146067</v>
      </c>
    </row>
    <row r="25" spans="1:30" ht="18" customHeight="1" x14ac:dyDescent="0.35">
      <c r="A25" s="4">
        <v>24</v>
      </c>
      <c r="B25" s="5" t="s">
        <v>49</v>
      </c>
      <c r="C25" s="6">
        <v>8063913837.0747995</v>
      </c>
      <c r="D25" s="6">
        <v>13796939769.864799</v>
      </c>
      <c r="E25" s="6">
        <v>7092908964.8733006</v>
      </c>
      <c r="F25" s="6">
        <v>13048379808.3633</v>
      </c>
      <c r="G25" s="6">
        <v>9799389891.9706001</v>
      </c>
      <c r="H25" s="6">
        <v>15254860735.4606</v>
      </c>
      <c r="I25" s="6">
        <v>7597594060.3508997</v>
      </c>
      <c r="J25" s="6">
        <v>13053064903.8409</v>
      </c>
      <c r="K25" s="6">
        <v>7410287448.1996002</v>
      </c>
      <c r="L25" s="6">
        <v>12865758291.6896</v>
      </c>
      <c r="M25" s="6">
        <v>10750989790.405001</v>
      </c>
      <c r="N25" s="6">
        <v>16206460633.895</v>
      </c>
      <c r="O25" s="6">
        <v>11358189271.785999</v>
      </c>
      <c r="P25" s="6">
        <v>16813660115.275999</v>
      </c>
      <c r="Q25" s="6">
        <v>11444741615.927601</v>
      </c>
      <c r="R25" s="6">
        <v>17882106494.6376</v>
      </c>
      <c r="S25" s="6">
        <v>10233009300.0016</v>
      </c>
      <c r="T25" s="6">
        <v>16670374178.711599</v>
      </c>
      <c r="U25" s="6">
        <v>9653640257.3276005</v>
      </c>
      <c r="V25" s="6">
        <v>15091005136.0376</v>
      </c>
      <c r="W25" s="6">
        <v>12457823345.2376</v>
      </c>
      <c r="X25" s="6">
        <v>17895188223.947601</v>
      </c>
      <c r="Y25" s="6">
        <v>10744229664.5467</v>
      </c>
      <c r="Z25" s="6">
        <v>16182371342.846701</v>
      </c>
      <c r="AA25" s="10">
        <f t="shared" si="0"/>
        <v>116606717447.70129</v>
      </c>
      <c r="AB25" s="11">
        <v>659995837376.02002</v>
      </c>
      <c r="AC25" s="11">
        <f>'2020'!AA25/356</f>
        <v>327546959.12275642</v>
      </c>
      <c r="AD25" s="11">
        <f t="shared" si="1"/>
        <v>1853920891.5056741</v>
      </c>
    </row>
    <row r="26" spans="1:30" ht="18" customHeight="1" x14ac:dyDescent="0.35">
      <c r="A26" s="4">
        <v>25</v>
      </c>
      <c r="B26" s="5" t="s">
        <v>50</v>
      </c>
      <c r="C26" s="6">
        <v>3466735767.9814</v>
      </c>
      <c r="D26" s="6">
        <v>4004191244.0714002</v>
      </c>
      <c r="E26" s="6">
        <v>3033396116.3308001</v>
      </c>
      <c r="F26" s="6">
        <v>3573700438.4808002</v>
      </c>
      <c r="G26" s="6">
        <v>3565736302.6957998</v>
      </c>
      <c r="H26" s="6">
        <v>4106040624.8457999</v>
      </c>
      <c r="I26" s="6">
        <v>3279976700.9594998</v>
      </c>
      <c r="J26" s="6">
        <v>3820281023.1094999</v>
      </c>
      <c r="K26" s="6">
        <v>3162941028.4344001</v>
      </c>
      <c r="L26" s="6">
        <v>3426374054.5644002</v>
      </c>
      <c r="M26" s="6">
        <v>3887191458.9018002</v>
      </c>
      <c r="N26" s="6">
        <v>4150624485.0317998</v>
      </c>
      <c r="O26" s="6">
        <v>3997668796.3386998</v>
      </c>
      <c r="P26" s="6">
        <v>4261101822.4686999</v>
      </c>
      <c r="Q26" s="6">
        <v>4114636816.6894999</v>
      </c>
      <c r="R26" s="6">
        <v>4390342705.0895004</v>
      </c>
      <c r="S26" s="6">
        <v>3840357483.1511002</v>
      </c>
      <c r="T26" s="6">
        <v>4116063371.5510998</v>
      </c>
      <c r="U26" s="6">
        <v>3425912613.6353998</v>
      </c>
      <c r="V26" s="6">
        <v>3701618502.0353999</v>
      </c>
      <c r="W26" s="6">
        <v>3551234903.2821002</v>
      </c>
      <c r="X26" s="6">
        <v>3725302931.4621</v>
      </c>
      <c r="Y26" s="6">
        <v>3679383067.6468</v>
      </c>
      <c r="Z26" s="6">
        <v>3854227895.4168</v>
      </c>
      <c r="AA26" s="10">
        <f t="shared" si="0"/>
        <v>43005171056.047295</v>
      </c>
      <c r="AB26" s="11">
        <v>16079129272.799999</v>
      </c>
      <c r="AC26" s="11">
        <f>'2020'!AA26/356</f>
        <v>120801042.29226768</v>
      </c>
      <c r="AD26" s="11">
        <f t="shared" si="1"/>
        <v>45166093.462921344</v>
      </c>
    </row>
    <row r="27" spans="1:30" ht="18" customHeight="1" x14ac:dyDescent="0.35">
      <c r="A27" s="4">
        <v>26</v>
      </c>
      <c r="B27" s="5" t="s">
        <v>51</v>
      </c>
      <c r="C27" s="6">
        <v>4471339487.0977993</v>
      </c>
      <c r="D27" s="6">
        <v>5124339716.5377998</v>
      </c>
      <c r="E27" s="6">
        <v>3908604533.7778001</v>
      </c>
      <c r="F27" s="6">
        <v>4583187988.3277998</v>
      </c>
      <c r="G27" s="6">
        <v>4538730036.1098003</v>
      </c>
      <c r="H27" s="6">
        <v>5216792893.6198006</v>
      </c>
      <c r="I27" s="6">
        <v>4181004721.1173</v>
      </c>
      <c r="J27" s="6">
        <v>4856665833.7372999</v>
      </c>
      <c r="K27" s="6">
        <v>4020851692.5285001</v>
      </c>
      <c r="L27" s="6">
        <v>4377507671.3485003</v>
      </c>
      <c r="M27" s="6">
        <v>4956584525.1499996</v>
      </c>
      <c r="N27" s="6">
        <v>5313240503.9699993</v>
      </c>
      <c r="O27" s="6">
        <v>5091050963.3717995</v>
      </c>
      <c r="P27" s="6">
        <v>5447706942.1918001</v>
      </c>
      <c r="Q27" s="6">
        <v>5260347128.9171</v>
      </c>
      <c r="R27" s="6">
        <v>5626050098.4970999</v>
      </c>
      <c r="S27" s="6">
        <v>4904780660.3348007</v>
      </c>
      <c r="T27" s="6">
        <v>5270483629.9148006</v>
      </c>
      <c r="U27" s="6">
        <v>4417961977.1314011</v>
      </c>
      <c r="V27" s="6">
        <v>4783664946.711401</v>
      </c>
      <c r="W27" s="6">
        <v>3894349918.5490012</v>
      </c>
      <c r="X27" s="6">
        <v>4731402897.4990005</v>
      </c>
      <c r="Y27" s="6">
        <v>4095906588.6939011</v>
      </c>
      <c r="Z27" s="6">
        <v>4933736367.2339001</v>
      </c>
      <c r="AA27" s="10">
        <f t="shared" si="0"/>
        <v>53741512232.779205</v>
      </c>
      <c r="AB27" s="11">
        <v>10523629813.870001</v>
      </c>
      <c r="AC27" s="11">
        <f>'2020'!AA27/356</f>
        <v>150959304.02466068</v>
      </c>
      <c r="AD27" s="11">
        <f t="shared" si="1"/>
        <v>29560757.904129215</v>
      </c>
    </row>
    <row r="28" spans="1:30" ht="18" customHeight="1" x14ac:dyDescent="0.35">
      <c r="A28" s="4">
        <v>27</v>
      </c>
      <c r="B28" s="5" t="s">
        <v>52</v>
      </c>
      <c r="C28" s="6">
        <v>2978566203.5033998</v>
      </c>
      <c r="D28" s="6">
        <v>4330423054.4033995</v>
      </c>
      <c r="E28" s="6">
        <v>2420052207.308701</v>
      </c>
      <c r="F28" s="6">
        <v>3888878172.6187</v>
      </c>
      <c r="G28" s="6">
        <v>2882065071.3471999</v>
      </c>
      <c r="H28" s="6">
        <v>4350891036.6571999</v>
      </c>
      <c r="I28" s="6">
        <v>2939054199.6092</v>
      </c>
      <c r="J28" s="6">
        <v>4224952498.9892001</v>
      </c>
      <c r="K28" s="6">
        <v>2749447018.008801</v>
      </c>
      <c r="L28" s="6">
        <v>3648511318.0588012</v>
      </c>
      <c r="M28" s="6">
        <v>3561866549.0077</v>
      </c>
      <c r="N28" s="6">
        <v>4459130849.0876999</v>
      </c>
      <c r="O28" s="6">
        <v>3677071506.4334998</v>
      </c>
      <c r="P28" s="6">
        <v>4574335806.5135002</v>
      </c>
      <c r="Q28" s="6">
        <v>3693024483.8137999</v>
      </c>
      <c r="R28" s="6">
        <v>4728526307.2438002</v>
      </c>
      <c r="S28" s="6">
        <v>3412342519.5541</v>
      </c>
      <c r="T28" s="6">
        <v>4447844342.9841003</v>
      </c>
      <c r="U28" s="6">
        <v>2963596024.3562999</v>
      </c>
      <c r="V28" s="6">
        <v>3999097847.7863002</v>
      </c>
      <c r="W28" s="6">
        <v>3045626430.3042998</v>
      </c>
      <c r="X28" s="6">
        <v>4081128253.7343001</v>
      </c>
      <c r="Y28" s="6">
        <v>3325059730.0780001</v>
      </c>
      <c r="Z28" s="6">
        <v>4361338353.0979996</v>
      </c>
      <c r="AA28" s="10">
        <f t="shared" si="0"/>
        <v>37647771943.325005</v>
      </c>
      <c r="AB28" s="11">
        <v>50561119457.279999</v>
      </c>
      <c r="AC28" s="11">
        <f>'2020'!AA28/356</f>
        <v>105752168.38012642</v>
      </c>
      <c r="AD28" s="11">
        <f t="shared" si="1"/>
        <v>142025616.45303372</v>
      </c>
    </row>
    <row r="29" spans="1:30" ht="18" customHeight="1" x14ac:dyDescent="0.35">
      <c r="A29" s="4">
        <v>28</v>
      </c>
      <c r="B29" s="5" t="s">
        <v>53</v>
      </c>
      <c r="C29" s="6">
        <v>3955462461.9762001</v>
      </c>
      <c r="D29" s="6">
        <v>5473837145.9262009</v>
      </c>
      <c r="E29" s="6">
        <v>3534613206.6398001</v>
      </c>
      <c r="F29" s="6">
        <v>5088299203.2298002</v>
      </c>
      <c r="G29" s="6">
        <v>4208401168.0082989</v>
      </c>
      <c r="H29" s="6">
        <v>5762087164.5983</v>
      </c>
      <c r="I29" s="6">
        <v>3457720833.1578002</v>
      </c>
      <c r="J29" s="6">
        <v>5011406829.7478008</v>
      </c>
      <c r="K29" s="6">
        <v>3439007243.9025002</v>
      </c>
      <c r="L29" s="6">
        <v>4665191810.6025</v>
      </c>
      <c r="M29" s="6">
        <v>3898271710.5737</v>
      </c>
      <c r="N29" s="6">
        <v>5124456277.2737007</v>
      </c>
      <c r="O29" s="6">
        <v>4409281411.8472996</v>
      </c>
      <c r="P29" s="6">
        <v>5601097743.0473003</v>
      </c>
      <c r="Q29" s="6">
        <v>4217370955.8799</v>
      </c>
      <c r="R29" s="6">
        <v>5406433106.6198997</v>
      </c>
      <c r="S29" s="6">
        <v>3963317403.5170002</v>
      </c>
      <c r="T29" s="6">
        <v>5152379554.2570009</v>
      </c>
      <c r="U29" s="6">
        <v>3564296267.6444998</v>
      </c>
      <c r="V29" s="6">
        <v>4753358418.3844995</v>
      </c>
      <c r="W29" s="6">
        <v>3583564995.3670998</v>
      </c>
      <c r="X29" s="6">
        <v>4772627146.1070995</v>
      </c>
      <c r="Y29" s="6">
        <v>3766443728.73</v>
      </c>
      <c r="Z29" s="6">
        <v>4956282679.0599995</v>
      </c>
      <c r="AA29" s="10">
        <f t="shared" si="0"/>
        <v>45997751387.244102</v>
      </c>
      <c r="AB29" s="11">
        <v>24848466192.880001</v>
      </c>
      <c r="AC29" s="11">
        <f>'2020'!AA29/356</f>
        <v>129207166.81810141</v>
      </c>
      <c r="AD29" s="11">
        <f t="shared" si="1"/>
        <v>69799062.33955057</v>
      </c>
    </row>
    <row r="30" spans="1:30" ht="18" customHeight="1" x14ac:dyDescent="0.35">
      <c r="A30" s="4">
        <v>29</v>
      </c>
      <c r="B30" s="5" t="s">
        <v>54</v>
      </c>
      <c r="C30" s="6">
        <v>2189670467.1072001</v>
      </c>
      <c r="D30" s="6">
        <v>4127596656.0572</v>
      </c>
      <c r="E30" s="6">
        <v>1728441107.9057</v>
      </c>
      <c r="F30" s="6">
        <v>3720596968.2656989</v>
      </c>
      <c r="G30" s="6">
        <v>2223745035.1855989</v>
      </c>
      <c r="H30" s="6">
        <v>4215900895.5455999</v>
      </c>
      <c r="I30" s="6">
        <v>2226103045.3305998</v>
      </c>
      <c r="J30" s="6">
        <v>3912580118.690599</v>
      </c>
      <c r="K30" s="6">
        <v>2236001786.4698</v>
      </c>
      <c r="L30" s="6">
        <v>3537135300.8997998</v>
      </c>
      <c r="M30" s="6">
        <v>3010521424.7413011</v>
      </c>
      <c r="N30" s="6">
        <v>4311654939.1712999</v>
      </c>
      <c r="O30" s="6">
        <v>3140649700.1567001</v>
      </c>
      <c r="P30" s="6">
        <v>4441783214.5867004</v>
      </c>
      <c r="Q30" s="6">
        <v>3241129092.8123999</v>
      </c>
      <c r="R30" s="6">
        <v>4569034362.2223997</v>
      </c>
      <c r="S30" s="6">
        <v>2958185688.7526999</v>
      </c>
      <c r="T30" s="6">
        <v>4286090958.1627002</v>
      </c>
      <c r="U30" s="6">
        <v>2553303584.7603002</v>
      </c>
      <c r="V30" s="6">
        <v>3881208854.1703</v>
      </c>
      <c r="W30" s="6">
        <v>2594210809.5896001</v>
      </c>
      <c r="X30" s="6">
        <v>3922116078.9995999</v>
      </c>
      <c r="Y30" s="6">
        <v>2693448839.3752999</v>
      </c>
      <c r="Z30" s="6">
        <v>4122130908.375299</v>
      </c>
      <c r="AA30" s="10">
        <f t="shared" si="0"/>
        <v>30795410582.187202</v>
      </c>
      <c r="AB30" s="11">
        <v>19670818242.189999</v>
      </c>
      <c r="AC30" s="11">
        <f>'2020'!AA30/356</f>
        <v>86503962.309514612</v>
      </c>
      <c r="AD30" s="11">
        <f t="shared" si="1"/>
        <v>55255107.421882018</v>
      </c>
    </row>
    <row r="31" spans="1:30" ht="18" customHeight="1" x14ac:dyDescent="0.35">
      <c r="A31" s="4">
        <v>30</v>
      </c>
      <c r="B31" s="5" t="s">
        <v>55</v>
      </c>
      <c r="C31" s="6">
        <v>4219829454.5647001</v>
      </c>
      <c r="D31" s="6">
        <v>5459511439.1346998</v>
      </c>
      <c r="E31" s="6">
        <v>3691083744.2031002</v>
      </c>
      <c r="F31" s="6">
        <v>4915106506.6530991</v>
      </c>
      <c r="G31" s="6">
        <v>4451127934.8055</v>
      </c>
      <c r="H31" s="6">
        <v>5675150697.2554998</v>
      </c>
      <c r="I31" s="6">
        <v>3917989903.8836999</v>
      </c>
      <c r="J31" s="6">
        <v>5142012666.3337002</v>
      </c>
      <c r="K31" s="6">
        <v>3862654356.119101</v>
      </c>
      <c r="L31" s="6">
        <v>4688436336.2591</v>
      </c>
      <c r="M31" s="6">
        <v>4739421139.2556</v>
      </c>
      <c r="N31" s="6">
        <v>5565203119.3956003</v>
      </c>
      <c r="O31" s="6">
        <v>5019545009.7173004</v>
      </c>
      <c r="P31" s="6">
        <v>5845326989.8572998</v>
      </c>
      <c r="Q31" s="6">
        <v>5153137720.2089005</v>
      </c>
      <c r="R31" s="6">
        <v>6052241870.4188995</v>
      </c>
      <c r="S31" s="6">
        <v>5025151203.4900007</v>
      </c>
      <c r="T31" s="6">
        <v>5924255353.7000008</v>
      </c>
      <c r="U31" s="6">
        <v>4444885593.5129995</v>
      </c>
      <c r="V31" s="6">
        <v>5343989743.7230005</v>
      </c>
      <c r="W31" s="6">
        <v>4460680902.7472</v>
      </c>
      <c r="X31" s="6">
        <v>5359785052.9571991</v>
      </c>
      <c r="Y31" s="6">
        <v>5481868904.0201998</v>
      </c>
      <c r="Z31" s="6">
        <v>6381749853.8202</v>
      </c>
      <c r="AA31" s="10">
        <f t="shared" si="0"/>
        <v>54467375866.528305</v>
      </c>
      <c r="AB31" s="11">
        <v>38042733036.470001</v>
      </c>
      <c r="AC31" s="11">
        <f>'2020'!AA31/356</f>
        <v>152998246.81609073</v>
      </c>
      <c r="AD31" s="11">
        <f t="shared" si="1"/>
        <v>106861609.65300561</v>
      </c>
    </row>
    <row r="32" spans="1:30" ht="18" customHeight="1" x14ac:dyDescent="0.35">
      <c r="A32" s="4">
        <v>31</v>
      </c>
      <c r="B32" s="5" t="s">
        <v>56</v>
      </c>
      <c r="C32" s="6">
        <v>2856243805.0005002</v>
      </c>
      <c r="D32" s="6">
        <v>4581366053.3055</v>
      </c>
      <c r="E32" s="6">
        <v>2390029959.128901</v>
      </c>
      <c r="F32" s="6">
        <v>4121964140.2438998</v>
      </c>
      <c r="G32" s="6">
        <v>2915658961.9622998</v>
      </c>
      <c r="H32" s="6">
        <v>4647593143.0773001</v>
      </c>
      <c r="I32" s="6">
        <v>2609460390.8908</v>
      </c>
      <c r="J32" s="6">
        <v>4341394572.0058002</v>
      </c>
      <c r="K32" s="6">
        <v>2478511228.7932</v>
      </c>
      <c r="L32" s="6">
        <v>3901683401.3681998</v>
      </c>
      <c r="M32" s="6">
        <v>3330566056.5969</v>
      </c>
      <c r="N32" s="6">
        <v>4730488229.1718998</v>
      </c>
      <c r="O32" s="6">
        <v>3445088206.3683</v>
      </c>
      <c r="P32" s="6">
        <v>4863732627.5333004</v>
      </c>
      <c r="Q32" s="6">
        <v>3555756784.1364002</v>
      </c>
      <c r="R32" s="6">
        <v>5012415734.7214003</v>
      </c>
      <c r="S32" s="6">
        <v>3238937071.1066999</v>
      </c>
      <c r="T32" s="6">
        <v>4695596021.6917</v>
      </c>
      <c r="U32" s="6">
        <v>2760665847.5170999</v>
      </c>
      <c r="V32" s="6">
        <v>4217324798.1020989</v>
      </c>
      <c r="W32" s="6">
        <v>2782658718.5716</v>
      </c>
      <c r="X32" s="6">
        <v>4239317669.1566</v>
      </c>
      <c r="Y32" s="6">
        <v>2935829297.7111001</v>
      </c>
      <c r="Z32" s="6">
        <v>4393265047.8861008</v>
      </c>
      <c r="AA32" s="10">
        <f t="shared" si="0"/>
        <v>35299406327.783806</v>
      </c>
      <c r="AB32" s="11">
        <v>19122375801.59</v>
      </c>
      <c r="AC32" s="11">
        <f>'2020'!AA32/356</f>
        <v>99155635.752201706</v>
      </c>
      <c r="AD32" s="11">
        <f t="shared" si="1"/>
        <v>53714538.768511236</v>
      </c>
    </row>
    <row r="33" spans="1:30" ht="18" customHeight="1" x14ac:dyDescent="0.35">
      <c r="A33" s="4">
        <v>32</v>
      </c>
      <c r="B33" s="5" t="s">
        <v>57</v>
      </c>
      <c r="C33" s="6">
        <v>13384721346.9209</v>
      </c>
      <c r="D33" s="6">
        <v>14284871838.1509</v>
      </c>
      <c r="E33" s="6">
        <v>12050240556.7647</v>
      </c>
      <c r="F33" s="6">
        <v>13006372898.5047</v>
      </c>
      <c r="G33" s="6">
        <v>14007359197.056801</v>
      </c>
      <c r="H33" s="6">
        <v>14963491538.796801</v>
      </c>
      <c r="I33" s="6">
        <v>10431500631.6978</v>
      </c>
      <c r="J33" s="6">
        <v>11387632973.437799</v>
      </c>
      <c r="K33" s="6">
        <v>10654712477.837299</v>
      </c>
      <c r="L33" s="6">
        <v>11241629270.827299</v>
      </c>
      <c r="M33" s="6">
        <v>10469292818.583</v>
      </c>
      <c r="N33" s="6">
        <v>11056209611.573</v>
      </c>
      <c r="O33" s="6">
        <v>12846126047.320499</v>
      </c>
      <c r="P33" s="6">
        <v>13433042840.310499</v>
      </c>
      <c r="Q33" s="6">
        <v>11044792484.537001</v>
      </c>
      <c r="R33" s="6">
        <v>11578551828.937</v>
      </c>
      <c r="S33" s="6">
        <v>11631543825.5965</v>
      </c>
      <c r="T33" s="6">
        <v>12165303169.9965</v>
      </c>
      <c r="U33" s="6">
        <v>10005440874.7953</v>
      </c>
      <c r="V33" s="6">
        <v>10539200219.195299</v>
      </c>
      <c r="W33" s="6">
        <v>10110711369.790001</v>
      </c>
      <c r="X33" s="6">
        <v>10644470714.190001</v>
      </c>
      <c r="Y33" s="6">
        <v>11427663926.389999</v>
      </c>
      <c r="Z33" s="6">
        <v>11962200070.379999</v>
      </c>
      <c r="AA33" s="10">
        <f t="shared" si="0"/>
        <v>138064105557.28979</v>
      </c>
      <c r="AB33" s="11">
        <v>117189729245.28999</v>
      </c>
      <c r="AC33" s="11">
        <f>'2020'!AA33/356</f>
        <v>387820521.22834212</v>
      </c>
      <c r="AD33" s="11">
        <f t="shared" si="1"/>
        <v>329184632.71148872</v>
      </c>
    </row>
    <row r="34" spans="1:30" ht="18" customHeight="1" x14ac:dyDescent="0.35">
      <c r="A34" s="4">
        <v>33</v>
      </c>
      <c r="B34" s="5" t="s">
        <v>58</v>
      </c>
      <c r="C34" s="6">
        <v>4344073655.6009998</v>
      </c>
      <c r="D34" s="6">
        <v>4810091516.0009995</v>
      </c>
      <c r="E34" s="6">
        <v>3832010777.1371989</v>
      </c>
      <c r="F34" s="6">
        <v>4302737979.2872</v>
      </c>
      <c r="G34" s="6">
        <v>4407135972.2714996</v>
      </c>
      <c r="H34" s="6">
        <v>4877863174.4214993</v>
      </c>
      <c r="I34" s="6">
        <v>4080419484.9516001</v>
      </c>
      <c r="J34" s="6">
        <v>4551146687.1016006</v>
      </c>
      <c r="K34" s="6">
        <v>4063279691.9159999</v>
      </c>
      <c r="L34" s="6">
        <v>4105255251.8759999</v>
      </c>
      <c r="M34" s="6">
        <v>4952093000.9493999</v>
      </c>
      <c r="N34" s="6">
        <v>4994068560.9094009</v>
      </c>
      <c r="O34" s="6">
        <v>5071521041.4440994</v>
      </c>
      <c r="P34" s="6">
        <v>5113496601.4041004</v>
      </c>
      <c r="Q34" s="6">
        <v>5220616475.2256002</v>
      </c>
      <c r="R34" s="6">
        <v>5273233120.4555998</v>
      </c>
      <c r="S34" s="6">
        <v>4915290051.8864002</v>
      </c>
      <c r="T34" s="6">
        <v>4967906697.1163998</v>
      </c>
      <c r="U34" s="6">
        <v>4426537001.6584005</v>
      </c>
      <c r="V34" s="6">
        <v>4479153646.888401</v>
      </c>
      <c r="W34" s="6">
        <v>4082640587.8168998</v>
      </c>
      <c r="X34" s="6">
        <v>4488057263.7968998</v>
      </c>
      <c r="Y34" s="6">
        <v>4288936295.9411988</v>
      </c>
      <c r="Z34" s="6">
        <v>4695129771.5112</v>
      </c>
      <c r="AA34" s="10">
        <f t="shared" si="0"/>
        <v>53684554036.799301</v>
      </c>
      <c r="AB34" s="11">
        <v>11796827128.190001</v>
      </c>
      <c r="AC34" s="11">
        <f>'2020'!AA34/356</f>
        <v>150799309.09213287</v>
      </c>
      <c r="AD34" s="11">
        <f t="shared" si="1"/>
        <v>33137154.854466293</v>
      </c>
    </row>
    <row r="35" spans="1:30" ht="18" customHeight="1" x14ac:dyDescent="0.35">
      <c r="A35" s="4">
        <v>34</v>
      </c>
      <c r="B35" s="5" t="s">
        <v>59</v>
      </c>
      <c r="C35" s="6">
        <v>3665379090.0366998</v>
      </c>
      <c r="D35" s="6">
        <v>4241047428.8067012</v>
      </c>
      <c r="E35" s="6">
        <v>3072999233.1048002</v>
      </c>
      <c r="F35" s="6">
        <v>3740096741.1048002</v>
      </c>
      <c r="G35" s="6">
        <v>3592775111.2581</v>
      </c>
      <c r="H35" s="6">
        <v>4259872619.2581</v>
      </c>
      <c r="I35" s="6">
        <v>3291854336.5625</v>
      </c>
      <c r="J35" s="6">
        <v>3958951844.5625</v>
      </c>
      <c r="K35" s="6">
        <v>3301336034.6573</v>
      </c>
      <c r="L35" s="6">
        <v>3641319527.8073001</v>
      </c>
      <c r="M35" s="6">
        <v>4011428306.5802002</v>
      </c>
      <c r="N35" s="6">
        <v>4351411799.7301998</v>
      </c>
      <c r="O35" s="6">
        <v>4190004564.0251002</v>
      </c>
      <c r="P35" s="6">
        <v>4529988057.1751003</v>
      </c>
      <c r="Q35" s="6">
        <v>4207084537.4766002</v>
      </c>
      <c r="R35" s="6">
        <v>4576606965.2966003</v>
      </c>
      <c r="S35" s="6">
        <v>3925219466.0370998</v>
      </c>
      <c r="T35" s="6">
        <v>4294741893.8571</v>
      </c>
      <c r="U35" s="6">
        <v>3498573581.8203001</v>
      </c>
      <c r="V35" s="6">
        <v>3868096009.6402998</v>
      </c>
      <c r="W35" s="6">
        <v>3107690684.0549002</v>
      </c>
      <c r="X35" s="6">
        <v>3874196737.5349002</v>
      </c>
      <c r="Y35" s="6">
        <v>3298774332.2343998</v>
      </c>
      <c r="Z35" s="6">
        <v>4066057185.304399</v>
      </c>
      <c r="AA35" s="10">
        <f t="shared" si="0"/>
        <v>43163119277.848</v>
      </c>
      <c r="AB35" s="11">
        <v>8114973143.1400003</v>
      </c>
      <c r="AC35" s="11">
        <f>'2020'!AA35/356</f>
        <v>121244717.07260674</v>
      </c>
      <c r="AD35" s="11">
        <f t="shared" si="1"/>
        <v>22794868.379606742</v>
      </c>
    </row>
    <row r="36" spans="1:30" ht="18" customHeight="1" x14ac:dyDescent="0.35">
      <c r="A36" s="4">
        <v>35</v>
      </c>
      <c r="B36" s="5" t="s">
        <v>60</v>
      </c>
      <c r="C36" s="6">
        <v>4036654600.2846999</v>
      </c>
      <c r="D36" s="6">
        <v>4313181152.4747009</v>
      </c>
      <c r="E36" s="6">
        <v>3580582165.556601</v>
      </c>
      <c r="F36" s="6">
        <v>3847712095.2365999</v>
      </c>
      <c r="G36" s="6">
        <v>4095480198.4401999</v>
      </c>
      <c r="H36" s="6">
        <v>4362610128.1202002</v>
      </c>
      <c r="I36" s="6">
        <v>3805079275.2653999</v>
      </c>
      <c r="J36" s="6">
        <v>4072209204.9454002</v>
      </c>
      <c r="K36" s="6">
        <v>3654977195.8955002</v>
      </c>
      <c r="L36" s="6">
        <v>3679567350.5755</v>
      </c>
      <c r="M36" s="6">
        <v>4432482373.8164005</v>
      </c>
      <c r="N36" s="6">
        <v>4457072528.4963999</v>
      </c>
      <c r="O36" s="6">
        <v>4571887143.5573006</v>
      </c>
      <c r="P36" s="6">
        <v>4596477298.2372999</v>
      </c>
      <c r="Q36" s="6">
        <v>4702336246.1157999</v>
      </c>
      <c r="R36" s="6">
        <v>4735137974.8257999</v>
      </c>
      <c r="S36" s="6">
        <v>4394297809.6222</v>
      </c>
      <c r="T36" s="6">
        <v>4427099538.3322001</v>
      </c>
      <c r="U36" s="6">
        <v>3952304467.3636012</v>
      </c>
      <c r="V36" s="6">
        <v>3985106196.0736008</v>
      </c>
      <c r="W36" s="6">
        <v>3833994922.6023998</v>
      </c>
      <c r="X36" s="6">
        <v>3986924464.8923998</v>
      </c>
      <c r="Y36" s="6">
        <v>4021687550.9253001</v>
      </c>
      <c r="Z36" s="6">
        <v>4175393892.8053002</v>
      </c>
      <c r="AA36" s="10">
        <f t="shared" si="0"/>
        <v>49081763949.445412</v>
      </c>
      <c r="AB36" s="11">
        <v>6810915628.0299997</v>
      </c>
      <c r="AC36" s="11">
        <f>'2020'!AA36/356</f>
        <v>137870123.45349833</v>
      </c>
      <c r="AD36" s="11">
        <f t="shared" si="1"/>
        <v>19131785.471994381</v>
      </c>
    </row>
    <row r="37" spans="1:30" ht="18" customHeight="1" x14ac:dyDescent="0.35">
      <c r="A37" s="4">
        <v>36</v>
      </c>
      <c r="B37" s="5" t="s">
        <v>61</v>
      </c>
      <c r="C37" s="6">
        <v>3296407621.0362</v>
      </c>
      <c r="D37" s="6">
        <v>4389316677.9561996</v>
      </c>
      <c r="E37" s="6">
        <v>2840030731.9164</v>
      </c>
      <c r="F37" s="6">
        <v>3937035979.5464001</v>
      </c>
      <c r="G37" s="6">
        <v>3381843290.4158001</v>
      </c>
      <c r="H37" s="6">
        <v>4478848538.0457993</v>
      </c>
      <c r="I37" s="6">
        <v>3083509139.6110001</v>
      </c>
      <c r="J37" s="6">
        <v>4180514387.2410002</v>
      </c>
      <c r="K37" s="6">
        <v>2981238560.6536002</v>
      </c>
      <c r="L37" s="6">
        <v>3745542918.4335999</v>
      </c>
      <c r="M37" s="6">
        <v>3811163403.1901999</v>
      </c>
      <c r="N37" s="6">
        <v>4575467760.9701996</v>
      </c>
      <c r="O37" s="6">
        <v>3917624090.9485998</v>
      </c>
      <c r="P37" s="6">
        <v>4681928448.7285995</v>
      </c>
      <c r="Q37" s="6">
        <v>4062476319.1377988</v>
      </c>
      <c r="R37" s="6">
        <v>4834670874.1977997</v>
      </c>
      <c r="S37" s="6">
        <v>3750378245.7946</v>
      </c>
      <c r="T37" s="6">
        <v>4522572800.8546</v>
      </c>
      <c r="U37" s="6">
        <v>3321751729.9628</v>
      </c>
      <c r="V37" s="6">
        <v>4093946285.0228</v>
      </c>
      <c r="W37" s="6">
        <v>3351583890.5040998</v>
      </c>
      <c r="X37" s="6">
        <v>4123778445.5640998</v>
      </c>
      <c r="Y37" s="6">
        <v>3510873374.9152002</v>
      </c>
      <c r="Z37" s="6">
        <v>4283844729.5651999</v>
      </c>
      <c r="AA37" s="10">
        <f t="shared" si="0"/>
        <v>41308880398.086296</v>
      </c>
      <c r="AB37" s="11">
        <v>18499252091.610001</v>
      </c>
      <c r="AC37" s="11">
        <f>'2020'!AA37/356</f>
        <v>116036180.89350083</v>
      </c>
      <c r="AD37" s="11">
        <f t="shared" si="1"/>
        <v>51964191.268567421</v>
      </c>
    </row>
    <row r="38" spans="1:30" ht="18" customHeight="1" x14ac:dyDescent="0.35">
      <c r="A38" s="7">
        <v>37</v>
      </c>
      <c r="B38" s="8" t="s">
        <v>62</v>
      </c>
      <c r="C38" s="9">
        <v>5735489750.1942015</v>
      </c>
      <c r="D38" s="9"/>
      <c r="E38" s="9">
        <v>5101855625.0309992</v>
      </c>
      <c r="F38" s="9"/>
      <c r="G38" s="9">
        <v>5775190144.0313005</v>
      </c>
      <c r="H38" s="9"/>
      <c r="I38" s="9">
        <v>5428046729.8900995</v>
      </c>
      <c r="J38" s="9"/>
      <c r="K38" s="9">
        <v>4820819665.9054003</v>
      </c>
      <c r="L38" s="9"/>
      <c r="M38" s="9">
        <v>5866314950.1304998</v>
      </c>
      <c r="N38" s="9"/>
      <c r="O38" s="9">
        <v>6025511282.2486</v>
      </c>
      <c r="P38" s="9"/>
      <c r="Q38" s="9">
        <v>6123213163.5973997</v>
      </c>
      <c r="R38" s="9"/>
      <c r="S38" s="9">
        <v>5741829786.3930006</v>
      </c>
      <c r="T38" s="9"/>
      <c r="U38" s="9">
        <v>5175112580.2819996</v>
      </c>
      <c r="V38" s="9"/>
      <c r="W38" s="9">
        <v>5079028994.8676996</v>
      </c>
      <c r="X38" s="9"/>
      <c r="Y38" s="9">
        <v>5227127769.2326002</v>
      </c>
      <c r="Z38" s="9"/>
      <c r="AA38" s="10">
        <f t="shared" si="0"/>
        <v>66099540441.803787</v>
      </c>
      <c r="AB38" s="11">
        <v>92059700897.423004</v>
      </c>
      <c r="AC38" s="11">
        <f>'2020'!AA38/356</f>
        <v>185672866.40956119</v>
      </c>
      <c r="AD38" s="11">
        <f t="shared" si="1"/>
        <v>258594665.44219944</v>
      </c>
    </row>
    <row r="39" spans="1:30" x14ac:dyDescent="0.3">
      <c r="AA39" s="10">
        <f>SUM(AA2:AA38)</f>
        <v>2267723055014.5493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9"/>
  <sheetViews>
    <sheetView topLeftCell="S19" zoomScale="90" zoomScaleNormal="90" workbookViewId="0">
      <selection activeCell="AA40" sqref="AA40"/>
    </sheetView>
  </sheetViews>
  <sheetFormatPr defaultRowHeight="14.4" x14ac:dyDescent="0.3"/>
  <cols>
    <col min="1" max="1" width="6" customWidth="1"/>
    <col min="2" max="26" width="18" customWidth="1"/>
    <col min="27" max="27" width="23.44140625" customWidth="1"/>
    <col min="28" max="28" width="23.77734375" customWidth="1"/>
    <col min="29" max="29" width="17.6640625" bestFit="1" customWidth="1"/>
    <col min="30" max="30" width="16.109375" bestFit="1" customWidth="1"/>
  </cols>
  <sheetData>
    <row r="1" spans="1:30" ht="24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66</v>
      </c>
      <c r="AB1" s="3" t="s">
        <v>67</v>
      </c>
      <c r="AC1" s="3" t="s">
        <v>185</v>
      </c>
      <c r="AD1" s="3" t="s">
        <v>186</v>
      </c>
    </row>
    <row r="2" spans="1:30" ht="18" customHeight="1" x14ac:dyDescent="0.35">
      <c r="A2" s="4">
        <v>1</v>
      </c>
      <c r="B2" s="5" t="s">
        <v>26</v>
      </c>
      <c r="C2" s="6">
        <v>4010519719.1914001</v>
      </c>
      <c r="D2" s="6">
        <v>4469149151.2614002</v>
      </c>
      <c r="E2" s="6">
        <v>3911528048.7958999</v>
      </c>
      <c r="F2" s="6">
        <v>4370157480.8659</v>
      </c>
      <c r="G2" s="6">
        <v>4264346493.9100008</v>
      </c>
      <c r="H2" s="6">
        <v>4722975925.9799995</v>
      </c>
      <c r="I2" s="6">
        <v>4334833047.6128006</v>
      </c>
      <c r="J2" s="6">
        <v>4793462479.6828003</v>
      </c>
      <c r="K2" s="6">
        <v>4322625428.7938004</v>
      </c>
      <c r="L2" s="6">
        <v>4781254860.8638</v>
      </c>
      <c r="M2" s="6">
        <v>4568580673.2627001</v>
      </c>
      <c r="N2" s="6">
        <v>5399553304.7249002</v>
      </c>
      <c r="O2" s="6">
        <v>4807635652.5215006</v>
      </c>
      <c r="P2" s="6">
        <v>5638391507.3663998</v>
      </c>
      <c r="Q2" s="6">
        <v>4421485896.9692497</v>
      </c>
      <c r="R2" s="6">
        <v>5284191986.2588501</v>
      </c>
      <c r="S2" s="6">
        <v>4741767461.6548996</v>
      </c>
      <c r="T2" s="6">
        <v>5652316166.0081997</v>
      </c>
      <c r="U2" s="6">
        <v>4223269196.0208998</v>
      </c>
      <c r="V2" s="6">
        <v>5120617903.8028002</v>
      </c>
      <c r="W2" s="6">
        <v>4407042570.4806499</v>
      </c>
      <c r="X2" s="6">
        <v>5299830691.8456001</v>
      </c>
      <c r="Y2" s="10">
        <v>4667012496.0500002</v>
      </c>
      <c r="Z2" s="10">
        <v>5489927629.3000002</v>
      </c>
      <c r="AA2" s="10">
        <f>SUM(C2,E2,G2,I2,K2,M2,O2,Q2,S2,U2,W2,Y2)</f>
        <v>52680646685.263802</v>
      </c>
      <c r="AB2" s="11">
        <v>19578331591.330002</v>
      </c>
      <c r="AC2" s="10">
        <f>AA2/399</f>
        <v>132031695.9530421</v>
      </c>
      <c r="AD2" s="11">
        <f>AA2/399</f>
        <v>132031695.9530421</v>
      </c>
    </row>
    <row r="3" spans="1:30" ht="18" customHeight="1" x14ac:dyDescent="0.35">
      <c r="A3" s="4">
        <v>2</v>
      </c>
      <c r="B3" s="5" t="s">
        <v>27</v>
      </c>
      <c r="C3" s="6">
        <v>4116695980.5005002</v>
      </c>
      <c r="D3" s="6">
        <v>4364854016.4705</v>
      </c>
      <c r="E3" s="6">
        <v>3723376879.7350001</v>
      </c>
      <c r="F3" s="6">
        <v>3971534915.7049999</v>
      </c>
      <c r="G3" s="6">
        <v>4336881972.5799999</v>
      </c>
      <c r="H3" s="6">
        <v>4585040008.5500002</v>
      </c>
      <c r="I3" s="6">
        <v>4479240721.7812996</v>
      </c>
      <c r="J3" s="6">
        <v>4727398757.7513008</v>
      </c>
      <c r="K3" s="6">
        <v>4442887618.6237001</v>
      </c>
      <c r="L3" s="6">
        <v>4691045654.5937004</v>
      </c>
      <c r="M3" s="6">
        <v>4726993316.7511997</v>
      </c>
      <c r="N3" s="6">
        <v>5306850552.1118002</v>
      </c>
      <c r="O3" s="6">
        <v>4947169568.5879993</v>
      </c>
      <c r="P3" s="6">
        <v>5526796190.9064007</v>
      </c>
      <c r="Q3" s="6">
        <v>4774400422.1816998</v>
      </c>
      <c r="R3" s="6">
        <v>5383784210.1528006</v>
      </c>
      <c r="S3" s="6">
        <v>4782169286.7507</v>
      </c>
      <c r="T3" s="6">
        <v>5391976744.8807001</v>
      </c>
      <c r="U3" s="6">
        <v>4537915458.0061007</v>
      </c>
      <c r="V3" s="6">
        <v>5137287075.3961</v>
      </c>
      <c r="W3" s="6">
        <v>4458795624.6120996</v>
      </c>
      <c r="X3" s="6">
        <v>5095818898.2921</v>
      </c>
      <c r="Y3" s="10">
        <v>4806265237.2299995</v>
      </c>
      <c r="Z3" s="10">
        <v>5442511711.3100004</v>
      </c>
      <c r="AA3" s="10">
        <f t="shared" ref="AA3:AA38" si="0">SUM(C3,E3,G3,I3,K3,M3,O3,Q3,S3,U3,W3,Y3)</f>
        <v>54132792087.340302</v>
      </c>
      <c r="AB3" s="11">
        <v>13011611228.120001</v>
      </c>
      <c r="AC3" s="10">
        <f t="shared" ref="AC3:AC39" si="1">AA3/399</f>
        <v>135671158.11363485</v>
      </c>
      <c r="AD3" s="11">
        <f t="shared" ref="AD3:AD39" si="2">AA3/399</f>
        <v>135671158.11363485</v>
      </c>
    </row>
    <row r="4" spans="1:30" ht="18" customHeight="1" x14ac:dyDescent="0.35">
      <c r="A4" s="4">
        <v>3</v>
      </c>
      <c r="B4" s="5" t="s">
        <v>28</v>
      </c>
      <c r="C4" s="6">
        <v>10666404992.668501</v>
      </c>
      <c r="D4" s="6">
        <v>11600125641.8885</v>
      </c>
      <c r="E4" s="6">
        <v>9456109292.2917023</v>
      </c>
      <c r="F4" s="6">
        <v>10389829941.5117</v>
      </c>
      <c r="G4" s="6">
        <v>11272612095.18</v>
      </c>
      <c r="H4" s="6">
        <v>12206332744.4</v>
      </c>
      <c r="I4" s="6">
        <v>11176099428.101101</v>
      </c>
      <c r="J4" s="6">
        <v>12109820077.3211</v>
      </c>
      <c r="K4" s="6">
        <v>9555322093.8034019</v>
      </c>
      <c r="L4" s="6">
        <v>10489042743.023399</v>
      </c>
      <c r="M4" s="6">
        <v>13430973482.989</v>
      </c>
      <c r="N4" s="6">
        <v>14646923461.4764</v>
      </c>
      <c r="O4" s="6">
        <v>14875268410.0646</v>
      </c>
      <c r="P4" s="6">
        <v>16149318965.770599</v>
      </c>
      <c r="Q4" s="6">
        <v>10864620172.780849</v>
      </c>
      <c r="R4" s="6">
        <v>12183570520.29645</v>
      </c>
      <c r="S4" s="6">
        <v>15608291011.831699</v>
      </c>
      <c r="T4" s="6">
        <v>16954924714.620399</v>
      </c>
      <c r="U4" s="6">
        <v>8953239728.3658485</v>
      </c>
      <c r="V4" s="6">
        <v>10321864566.313</v>
      </c>
      <c r="W4" s="6">
        <v>14083568333.520451</v>
      </c>
      <c r="X4" s="6">
        <v>15447296405.510201</v>
      </c>
      <c r="Y4" s="10">
        <v>11669297935.110001</v>
      </c>
      <c r="Z4" s="10">
        <v>13035704846.42</v>
      </c>
      <c r="AA4" s="10">
        <f t="shared" si="0"/>
        <v>141611806976.70715</v>
      </c>
      <c r="AB4" s="11">
        <v>31396512094.84</v>
      </c>
      <c r="AC4" s="10">
        <f t="shared" si="1"/>
        <v>354916809.46543145</v>
      </c>
      <c r="AD4" s="11">
        <f t="shared" si="2"/>
        <v>354916809.46543145</v>
      </c>
    </row>
    <row r="5" spans="1:30" ht="18" customHeight="1" x14ac:dyDescent="0.35">
      <c r="A5" s="4">
        <v>4</v>
      </c>
      <c r="B5" s="5" t="s">
        <v>29</v>
      </c>
      <c r="C5" s="6">
        <v>4300928022.6618996</v>
      </c>
      <c r="D5" s="6">
        <v>4457979223.7418985</v>
      </c>
      <c r="E5" s="6">
        <v>4069881496.557899</v>
      </c>
      <c r="F5" s="6">
        <v>4226932697.6378989</v>
      </c>
      <c r="G5" s="6">
        <v>4536384868.2099991</v>
      </c>
      <c r="H5" s="6">
        <v>4693436069.289999</v>
      </c>
      <c r="I5" s="6">
        <v>4802416654.5993004</v>
      </c>
      <c r="J5" s="6">
        <v>4959467855.6793003</v>
      </c>
      <c r="K5" s="6">
        <v>4792739135.0474997</v>
      </c>
      <c r="L5" s="6">
        <v>4949790336.1274996</v>
      </c>
      <c r="M5" s="6">
        <v>5122105674.5118999</v>
      </c>
      <c r="N5" s="6">
        <v>5524675885.9038992</v>
      </c>
      <c r="O5" s="6">
        <v>5305984479.5761995</v>
      </c>
      <c r="P5" s="6">
        <v>5708324509.9521999</v>
      </c>
      <c r="Q5" s="6">
        <v>5064945881.9055004</v>
      </c>
      <c r="R5" s="6">
        <v>5584483668.5237999</v>
      </c>
      <c r="S5" s="6">
        <v>5191304930.8481998</v>
      </c>
      <c r="T5" s="6">
        <v>5711285144.2481995</v>
      </c>
      <c r="U5" s="6">
        <v>4877570453.2412996</v>
      </c>
      <c r="V5" s="6">
        <v>5387114825.9012995</v>
      </c>
      <c r="W5" s="6">
        <v>4845367791.3520002</v>
      </c>
      <c r="X5" s="6">
        <v>5354912164.0020008</v>
      </c>
      <c r="Y5" s="10">
        <v>5274961137.3999996</v>
      </c>
      <c r="Z5" s="10">
        <v>5715201597.0500002</v>
      </c>
      <c r="AA5" s="10">
        <f t="shared" si="0"/>
        <v>58184590525.911697</v>
      </c>
      <c r="AB5" s="11">
        <v>30916674612.290001</v>
      </c>
      <c r="AC5" s="10">
        <f t="shared" si="1"/>
        <v>145826041.41832507</v>
      </c>
      <c r="AD5" s="11">
        <f t="shared" si="2"/>
        <v>145826041.41832507</v>
      </c>
    </row>
    <row r="6" spans="1:30" ht="18" customHeight="1" x14ac:dyDescent="0.35">
      <c r="A6" s="4">
        <v>5</v>
      </c>
      <c r="B6" s="5" t="s">
        <v>30</v>
      </c>
      <c r="C6" s="6">
        <v>4167394649.0826001</v>
      </c>
      <c r="D6" s="6">
        <v>5082533964.3325996</v>
      </c>
      <c r="E6" s="6">
        <v>3797679867.5290999</v>
      </c>
      <c r="F6" s="6">
        <v>4712819182.7791004</v>
      </c>
      <c r="G6" s="6">
        <v>4661699897.6500006</v>
      </c>
      <c r="H6" s="6">
        <v>5322360199.6800003</v>
      </c>
      <c r="I6" s="6">
        <v>4885336397.3542995</v>
      </c>
      <c r="J6" s="6">
        <v>5567529251.7243004</v>
      </c>
      <c r="K6" s="6">
        <v>4870352717.5781002</v>
      </c>
      <c r="L6" s="6">
        <v>5652924093.5281</v>
      </c>
      <c r="M6" s="6">
        <v>5262612140.0806007</v>
      </c>
      <c r="N6" s="6">
        <v>6368290429.2834005</v>
      </c>
      <c r="O6" s="6">
        <v>5556345900.3130007</v>
      </c>
      <c r="P6" s="6">
        <v>6791800727.9917011</v>
      </c>
      <c r="Q6" s="6">
        <v>4979661469.3181</v>
      </c>
      <c r="R6" s="6">
        <v>6312244609.0804996</v>
      </c>
      <c r="S6" s="6">
        <v>5058355442.3353996</v>
      </c>
      <c r="T6" s="6">
        <v>6367819458.6854</v>
      </c>
      <c r="U6" s="6">
        <v>4803257283.4323006</v>
      </c>
      <c r="V6" s="6">
        <v>6102285459.0423002</v>
      </c>
      <c r="W6" s="6">
        <v>5073966557.2334995</v>
      </c>
      <c r="X6" s="6">
        <v>6100621689.5734997</v>
      </c>
      <c r="Y6" s="10">
        <v>5051274313.7700005</v>
      </c>
      <c r="Z6" s="10">
        <v>6312448638.0299997</v>
      </c>
      <c r="AA6" s="10">
        <f t="shared" si="0"/>
        <v>58167936635.676987</v>
      </c>
      <c r="AB6" s="11">
        <v>17902447967.630001</v>
      </c>
      <c r="AC6" s="10">
        <f t="shared" si="1"/>
        <v>145784302.3450551</v>
      </c>
      <c r="AD6" s="11">
        <f t="shared" si="2"/>
        <v>145784302.3450551</v>
      </c>
    </row>
    <row r="7" spans="1:30" ht="18" customHeight="1" x14ac:dyDescent="0.35">
      <c r="A7" s="4">
        <v>6</v>
      </c>
      <c r="B7" s="5" t="s">
        <v>31</v>
      </c>
      <c r="C7" s="6">
        <v>6788533549.7524996</v>
      </c>
      <c r="D7" s="6">
        <v>8730011019.3724995</v>
      </c>
      <c r="E7" s="6">
        <v>7842339132.2245007</v>
      </c>
      <c r="F7" s="6">
        <v>9783816601.8444996</v>
      </c>
      <c r="G7" s="6">
        <v>11745196628.32</v>
      </c>
      <c r="H7" s="6">
        <v>12746808601.48</v>
      </c>
      <c r="I7" s="6">
        <v>10724354701.985201</v>
      </c>
      <c r="J7" s="6">
        <v>11725966675.145201</v>
      </c>
      <c r="K7" s="6">
        <v>6618841019.177701</v>
      </c>
      <c r="L7" s="6">
        <v>8560318488.7977009</v>
      </c>
      <c r="M7" s="6">
        <v>14137324790.9021</v>
      </c>
      <c r="N7" s="6">
        <v>16377233184.8881</v>
      </c>
      <c r="O7" s="6">
        <v>12710655844.148199</v>
      </c>
      <c r="P7" s="6">
        <v>15009774925.7815</v>
      </c>
      <c r="Q7" s="6">
        <v>7297275642.3605509</v>
      </c>
      <c r="R7" s="6">
        <v>9861619285.8622513</v>
      </c>
      <c r="S7" s="6">
        <v>12874470141.1597</v>
      </c>
      <c r="T7" s="6">
        <v>15484596411.0352</v>
      </c>
      <c r="U7" s="6">
        <v>7012496258.4894505</v>
      </c>
      <c r="V7" s="6">
        <v>8669709257.2201004</v>
      </c>
      <c r="W7" s="6">
        <v>12929058684.99575</v>
      </c>
      <c r="X7" s="6">
        <v>14581962248.513599</v>
      </c>
      <c r="Y7" s="10">
        <v>10208975464.26</v>
      </c>
      <c r="Z7" s="10">
        <v>11863861770.469999</v>
      </c>
      <c r="AA7" s="10">
        <f t="shared" si="0"/>
        <v>120889521857.77565</v>
      </c>
      <c r="AB7" s="11">
        <v>13273992304</v>
      </c>
      <c r="AC7" s="10">
        <f t="shared" si="1"/>
        <v>302981257.7889114</v>
      </c>
      <c r="AD7" s="11">
        <f t="shared" si="2"/>
        <v>302981257.7889114</v>
      </c>
    </row>
    <row r="8" spans="1:30" ht="18" customHeight="1" x14ac:dyDescent="0.35">
      <c r="A8" s="4">
        <v>7</v>
      </c>
      <c r="B8" s="5" t="s">
        <v>32</v>
      </c>
      <c r="C8" s="6">
        <v>3905139963.7596998</v>
      </c>
      <c r="D8" s="6">
        <v>4796487645.6396999</v>
      </c>
      <c r="E8" s="6">
        <v>3540167479.6490002</v>
      </c>
      <c r="F8" s="6">
        <v>4464848493.6090002</v>
      </c>
      <c r="G8" s="6">
        <v>4077222884.2649999</v>
      </c>
      <c r="H8" s="6">
        <v>4985237232.1849995</v>
      </c>
      <c r="I8" s="6">
        <v>4272618706.7632632</v>
      </c>
      <c r="J8" s="6">
        <v>5180633054.6832628</v>
      </c>
      <c r="K8" s="6">
        <v>4275312923.0374308</v>
      </c>
      <c r="L8" s="6">
        <v>5183327270.9574308</v>
      </c>
      <c r="M8" s="6">
        <v>4588385432.2637997</v>
      </c>
      <c r="N8" s="6">
        <v>5854493178.7761993</v>
      </c>
      <c r="O8" s="6">
        <v>4885580111.1028004</v>
      </c>
      <c r="P8" s="6">
        <v>6073648279.2471008</v>
      </c>
      <c r="Q8" s="6">
        <v>4656811186.2762003</v>
      </c>
      <c r="R8" s="6">
        <v>5878195978.4171009</v>
      </c>
      <c r="S8" s="6">
        <v>4744535836.7795506</v>
      </c>
      <c r="T8" s="6">
        <v>6021157321.4649</v>
      </c>
      <c r="U8" s="6">
        <v>4463329200.9185495</v>
      </c>
      <c r="V8" s="6">
        <v>5726204307.1869993</v>
      </c>
      <c r="W8" s="6">
        <v>4441480043.4941998</v>
      </c>
      <c r="X8" s="6">
        <v>5698893086.8118</v>
      </c>
      <c r="Y8" s="10">
        <v>4857871026</v>
      </c>
      <c r="Z8" s="10">
        <v>6014148908.7399998</v>
      </c>
      <c r="AA8" s="10">
        <f t="shared" si="0"/>
        <v>52708454794.309494</v>
      </c>
      <c r="AB8" s="11">
        <v>12601150537.450001</v>
      </c>
      <c r="AC8" s="10">
        <f t="shared" si="1"/>
        <v>132101390.46192856</v>
      </c>
      <c r="AD8" s="11">
        <f t="shared" si="2"/>
        <v>132101390.46192856</v>
      </c>
    </row>
    <row r="9" spans="1:30" ht="18" customHeight="1" x14ac:dyDescent="0.35">
      <c r="A9" s="4">
        <v>8</v>
      </c>
      <c r="B9" s="5" t="s">
        <v>33</v>
      </c>
      <c r="C9" s="6">
        <v>5018766980.9365997</v>
      </c>
      <c r="D9" s="6">
        <v>5103532526.3966007</v>
      </c>
      <c r="E9" s="6">
        <v>4660624865.1901999</v>
      </c>
      <c r="F9" s="6">
        <v>4745390410.6501999</v>
      </c>
      <c r="G9" s="6">
        <v>5240680748.21</v>
      </c>
      <c r="H9" s="6">
        <v>5325446293.6700001</v>
      </c>
      <c r="I9" s="6">
        <v>5493896796.1856995</v>
      </c>
      <c r="J9" s="6">
        <v>5578662341.6457005</v>
      </c>
      <c r="K9" s="6">
        <v>5562151166.6016006</v>
      </c>
      <c r="L9" s="6">
        <v>5646916712.0615997</v>
      </c>
      <c r="M9" s="6">
        <v>5884021587.8591995</v>
      </c>
      <c r="N9" s="6">
        <v>6447563916.6338997</v>
      </c>
      <c r="O9" s="6">
        <v>6072919789.1058006</v>
      </c>
      <c r="P9" s="6">
        <v>6636174489.3057003</v>
      </c>
      <c r="Q9" s="6">
        <v>5808688705.7271004</v>
      </c>
      <c r="R9" s="6">
        <v>6398059739.5746994</v>
      </c>
      <c r="S9" s="6">
        <v>5893493727.1178999</v>
      </c>
      <c r="T9" s="6">
        <v>6480813075.7278996</v>
      </c>
      <c r="U9" s="6">
        <v>5588986527.5112</v>
      </c>
      <c r="V9" s="6">
        <v>6195119221.2312002</v>
      </c>
      <c r="W9" s="6">
        <v>5393737930.1355</v>
      </c>
      <c r="X9" s="6">
        <v>6019456441.1555004</v>
      </c>
      <c r="Y9" s="10">
        <v>5798730066.9200001</v>
      </c>
      <c r="Z9" s="10">
        <v>6423671778.3599997</v>
      </c>
      <c r="AA9" s="10">
        <f t="shared" si="0"/>
        <v>66416698891.500786</v>
      </c>
      <c r="AB9" s="11">
        <v>18738212887.220001</v>
      </c>
      <c r="AC9" s="10">
        <f t="shared" si="1"/>
        <v>166457891.95864859</v>
      </c>
      <c r="AD9" s="11">
        <f t="shared" si="2"/>
        <v>166457891.95864859</v>
      </c>
    </row>
    <row r="10" spans="1:30" ht="18" customHeight="1" x14ac:dyDescent="0.35">
      <c r="A10" s="4">
        <v>9</v>
      </c>
      <c r="B10" s="5" t="s">
        <v>34</v>
      </c>
      <c r="C10" s="6">
        <v>2777589754.7982001</v>
      </c>
      <c r="D10" s="6">
        <v>4262178461.2481999</v>
      </c>
      <c r="E10" s="6">
        <v>2470315666.1083999</v>
      </c>
      <c r="F10" s="6">
        <v>3954904372.5584002</v>
      </c>
      <c r="G10" s="6">
        <v>3046094918.6100001</v>
      </c>
      <c r="H10" s="6">
        <v>4462156511.6400003</v>
      </c>
      <c r="I10" s="6">
        <v>3290306203.1420002</v>
      </c>
      <c r="J10" s="6">
        <v>4706367796.1719999</v>
      </c>
      <c r="K10" s="6">
        <v>3290532810.2175002</v>
      </c>
      <c r="L10" s="6">
        <v>4706594403.2475004</v>
      </c>
      <c r="M10" s="6">
        <v>3629501870.3597989</v>
      </c>
      <c r="N10" s="6">
        <v>5292466381.1808996</v>
      </c>
      <c r="O10" s="6">
        <v>3801160381.0847988</v>
      </c>
      <c r="P10" s="6">
        <v>5463892096.1002998</v>
      </c>
      <c r="Q10" s="6">
        <v>3424601839.9971499</v>
      </c>
      <c r="R10" s="6">
        <v>5213037187.8696499</v>
      </c>
      <c r="S10" s="6">
        <v>3536611627.5683498</v>
      </c>
      <c r="T10" s="6">
        <v>5375653847.0081997</v>
      </c>
      <c r="U10" s="6">
        <v>3274402290.98105</v>
      </c>
      <c r="V10" s="6">
        <v>5100040250.4274998</v>
      </c>
      <c r="W10" s="6">
        <v>3208527559.9868989</v>
      </c>
      <c r="X10" s="6">
        <v>5029267918.3746996</v>
      </c>
      <c r="Y10" s="10">
        <v>3474528637.6900001</v>
      </c>
      <c r="Z10" s="10">
        <v>5297628370.1499996</v>
      </c>
      <c r="AA10" s="10">
        <f t="shared" si="0"/>
        <v>39224173560.544151</v>
      </c>
      <c r="AB10" s="11">
        <v>22912281172.169998</v>
      </c>
      <c r="AC10" s="10">
        <f t="shared" si="1"/>
        <v>98306199.399860024</v>
      </c>
      <c r="AD10" s="11">
        <f t="shared" si="2"/>
        <v>98306199.399860024</v>
      </c>
    </row>
    <row r="11" spans="1:30" ht="18" customHeight="1" x14ac:dyDescent="0.35">
      <c r="A11" s="4">
        <v>10</v>
      </c>
      <c r="B11" s="5" t="s">
        <v>35</v>
      </c>
      <c r="C11" s="6">
        <v>12996334633.5924</v>
      </c>
      <c r="D11" s="6">
        <v>14021482139.9224</v>
      </c>
      <c r="E11" s="6">
        <v>16888217981.1136</v>
      </c>
      <c r="F11" s="6">
        <v>17906698820.7836</v>
      </c>
      <c r="G11" s="6">
        <v>16382870032.530001</v>
      </c>
      <c r="H11" s="6">
        <v>17401350872.200001</v>
      </c>
      <c r="I11" s="6">
        <v>15445266166.3083</v>
      </c>
      <c r="J11" s="6">
        <v>16463747005.9783</v>
      </c>
      <c r="K11" s="6">
        <v>12692861548.2652</v>
      </c>
      <c r="L11" s="6">
        <v>13711342387.9352</v>
      </c>
      <c r="M11" s="6">
        <v>19065257307.535999</v>
      </c>
      <c r="N11" s="6">
        <v>20658772945.187901</v>
      </c>
      <c r="O11" s="6">
        <v>19980675292.744701</v>
      </c>
      <c r="P11" s="6">
        <v>21573955871.59</v>
      </c>
      <c r="Q11" s="6">
        <v>13597147222.2924</v>
      </c>
      <c r="R11" s="6">
        <v>15231424354.563299</v>
      </c>
      <c r="S11" s="6">
        <v>21144151236.528049</v>
      </c>
      <c r="T11" s="6">
        <v>22829425741.728802</v>
      </c>
      <c r="U11" s="6">
        <v>10541086585.85745</v>
      </c>
      <c r="V11" s="6">
        <v>12212927975.1518</v>
      </c>
      <c r="W11" s="6">
        <v>18524054570.461899</v>
      </c>
      <c r="X11" s="6">
        <v>20217028312.827599</v>
      </c>
      <c r="Y11" s="10">
        <v>14873439434.17</v>
      </c>
      <c r="Z11" s="10">
        <v>16568803037.26</v>
      </c>
      <c r="AA11" s="10">
        <f t="shared" si="0"/>
        <v>192131362011.39999</v>
      </c>
      <c r="AB11" s="11">
        <v>80203623750.199997</v>
      </c>
      <c r="AC11" s="10">
        <f t="shared" si="1"/>
        <v>481532235.61754382</v>
      </c>
      <c r="AD11" s="11">
        <f t="shared" si="2"/>
        <v>481532235.61754382</v>
      </c>
    </row>
    <row r="12" spans="1:30" ht="18" customHeight="1" x14ac:dyDescent="0.35">
      <c r="A12" s="4">
        <v>11</v>
      </c>
      <c r="B12" s="5" t="s">
        <v>36</v>
      </c>
      <c r="C12" s="6">
        <v>3777679773.8137002</v>
      </c>
      <c r="D12" s="6">
        <v>3986997895.0124002</v>
      </c>
      <c r="E12" s="6">
        <v>3458882994.3959999</v>
      </c>
      <c r="F12" s="6">
        <v>3698309022.066</v>
      </c>
      <c r="G12" s="6">
        <v>3955052605</v>
      </c>
      <c r="H12" s="6">
        <v>4195108667</v>
      </c>
      <c r="I12" s="6">
        <v>4019618527.2247</v>
      </c>
      <c r="J12" s="6">
        <v>4262186169.4347</v>
      </c>
      <c r="K12" s="6">
        <v>4133189360.3596001</v>
      </c>
      <c r="L12" s="6">
        <v>4371801151.7096004</v>
      </c>
      <c r="M12" s="6">
        <v>4370824900.8036985</v>
      </c>
      <c r="N12" s="6">
        <v>4873245848.8483</v>
      </c>
      <c r="O12" s="6">
        <v>4490724686.6975002</v>
      </c>
      <c r="P12" s="6">
        <v>4994883794.0043993</v>
      </c>
      <c r="Q12" s="6">
        <v>4273815916.093399</v>
      </c>
      <c r="R12" s="6">
        <v>4822372603.8750992</v>
      </c>
      <c r="S12" s="6">
        <v>4324643980.4101</v>
      </c>
      <c r="T12" s="6">
        <v>4879245646.9500999</v>
      </c>
      <c r="U12" s="6">
        <v>4150516264.7147002</v>
      </c>
      <c r="V12" s="6">
        <v>4683124887.0846996</v>
      </c>
      <c r="W12" s="6">
        <v>4177577075.0510001</v>
      </c>
      <c r="X12" s="6">
        <v>4716191634.9109993</v>
      </c>
      <c r="Y12" s="10">
        <v>4345665907.1300001</v>
      </c>
      <c r="Z12" s="10">
        <v>4885406189.5</v>
      </c>
      <c r="AA12" s="10">
        <f t="shared" si="0"/>
        <v>49478191991.694397</v>
      </c>
      <c r="AB12" s="11">
        <v>13752313311.33</v>
      </c>
      <c r="AC12" s="10">
        <f t="shared" si="1"/>
        <v>124005493.7135198</v>
      </c>
      <c r="AD12" s="11">
        <f t="shared" si="2"/>
        <v>124005493.7135198</v>
      </c>
    </row>
    <row r="13" spans="1:30" ht="18" customHeight="1" x14ac:dyDescent="0.35">
      <c r="A13" s="4">
        <v>12</v>
      </c>
      <c r="B13" s="5" t="s">
        <v>37</v>
      </c>
      <c r="C13" s="6">
        <v>4692241346.8880997</v>
      </c>
      <c r="D13" s="6">
        <v>5076676067.9780998</v>
      </c>
      <c r="E13" s="6">
        <v>5115541333.3354006</v>
      </c>
      <c r="F13" s="6">
        <v>5499976054.4254007</v>
      </c>
      <c r="G13" s="6">
        <v>5652720301.6599998</v>
      </c>
      <c r="H13" s="6">
        <v>6037155022.75</v>
      </c>
      <c r="I13" s="6">
        <v>5736763505.9421997</v>
      </c>
      <c r="J13" s="6">
        <v>6121198227.0321999</v>
      </c>
      <c r="K13" s="6">
        <v>4969783098.8772011</v>
      </c>
      <c r="L13" s="6">
        <v>5454217819.9872007</v>
      </c>
      <c r="M13" s="6">
        <v>6762367954.0622997</v>
      </c>
      <c r="N13" s="6">
        <v>7635719059.8915997</v>
      </c>
      <c r="O13" s="6">
        <v>6548065472.8575001</v>
      </c>
      <c r="P13" s="6">
        <v>7379301964.1507998</v>
      </c>
      <c r="Q13" s="6">
        <v>5284819669.8409996</v>
      </c>
      <c r="R13" s="6">
        <v>6178411536.3225002</v>
      </c>
      <c r="S13" s="6">
        <v>5996974946.9208994</v>
      </c>
      <c r="T13" s="6">
        <v>7344406931.7210999</v>
      </c>
      <c r="U13" s="6">
        <v>4496907779.85285</v>
      </c>
      <c r="V13" s="6">
        <v>5773041872.2952003</v>
      </c>
      <c r="W13" s="6">
        <v>5629508313.7991505</v>
      </c>
      <c r="X13" s="6">
        <v>6901088346.9417</v>
      </c>
      <c r="Y13" s="10">
        <v>5366581011.9399996</v>
      </c>
      <c r="Z13" s="10">
        <v>6640300432.5500002</v>
      </c>
      <c r="AA13" s="10">
        <f t="shared" si="0"/>
        <v>66252274735.976601</v>
      </c>
      <c r="AB13" s="11">
        <v>42427205323.290001</v>
      </c>
      <c r="AC13" s="10">
        <f t="shared" si="1"/>
        <v>166045801.34329975</v>
      </c>
      <c r="AD13" s="11">
        <f t="shared" si="2"/>
        <v>166045801.34329975</v>
      </c>
    </row>
    <row r="14" spans="1:30" ht="18" customHeight="1" x14ac:dyDescent="0.35">
      <c r="A14" s="4">
        <v>13</v>
      </c>
      <c r="B14" s="5" t="s">
        <v>38</v>
      </c>
      <c r="C14" s="6">
        <v>2667314824.0001998</v>
      </c>
      <c r="D14" s="6">
        <v>3966546283.7002001</v>
      </c>
      <c r="E14" s="6">
        <v>2675730831.3622999</v>
      </c>
      <c r="F14" s="6">
        <v>3624024495.7923002</v>
      </c>
      <c r="G14" s="6">
        <v>3223428005.4200001</v>
      </c>
      <c r="H14" s="6">
        <v>4171721669.849999</v>
      </c>
      <c r="I14" s="6">
        <v>3358704016.0325999</v>
      </c>
      <c r="J14" s="6">
        <v>4306997680.4626007</v>
      </c>
      <c r="K14" s="6">
        <v>3482708364.7115998</v>
      </c>
      <c r="L14" s="6">
        <v>4431002029.1416006</v>
      </c>
      <c r="M14" s="6">
        <v>3667491194.7572989</v>
      </c>
      <c r="N14" s="6">
        <v>4947645144.5595999</v>
      </c>
      <c r="O14" s="6">
        <v>3827311829.8139</v>
      </c>
      <c r="P14" s="6">
        <v>5049099978.6753998</v>
      </c>
      <c r="Q14" s="6">
        <v>3430954103.8797002</v>
      </c>
      <c r="R14" s="6">
        <v>4771711794.5099001</v>
      </c>
      <c r="S14" s="6">
        <v>3524920060.0674</v>
      </c>
      <c r="T14" s="6">
        <v>4871113926.3973999</v>
      </c>
      <c r="U14" s="6">
        <v>3350471330.8483</v>
      </c>
      <c r="V14" s="6">
        <v>4686229356.4382992</v>
      </c>
      <c r="W14" s="6">
        <v>3317071861.5523</v>
      </c>
      <c r="X14" s="6">
        <v>4652829887.1322994</v>
      </c>
      <c r="Y14" s="10">
        <v>3522150495.5700002</v>
      </c>
      <c r="Z14" s="10">
        <v>4857131721.5699997</v>
      </c>
      <c r="AA14" s="10">
        <f t="shared" si="0"/>
        <v>40048256918.015602</v>
      </c>
      <c r="AB14" s="11">
        <v>13620433128.190001</v>
      </c>
      <c r="AC14" s="10">
        <f t="shared" si="1"/>
        <v>100371571.22309674</v>
      </c>
      <c r="AD14" s="11">
        <f t="shared" si="2"/>
        <v>100371571.22309674</v>
      </c>
    </row>
    <row r="15" spans="1:30" ht="18" customHeight="1" x14ac:dyDescent="0.35">
      <c r="A15" s="4">
        <v>14</v>
      </c>
      <c r="B15" s="5" t="s">
        <v>39</v>
      </c>
      <c r="C15" s="6">
        <v>4202830113.4720001</v>
      </c>
      <c r="D15" s="6">
        <v>4379858798.0019999</v>
      </c>
      <c r="E15" s="6">
        <v>3942823982.7206998</v>
      </c>
      <c r="F15" s="6">
        <v>4119852667.2507</v>
      </c>
      <c r="G15" s="6">
        <v>4420987431.4899998</v>
      </c>
      <c r="H15" s="6">
        <v>4598016116.0200005</v>
      </c>
      <c r="I15" s="6">
        <v>4614147761.4400005</v>
      </c>
      <c r="J15" s="6">
        <v>4791176445.9700003</v>
      </c>
      <c r="K15" s="6">
        <v>4614897202.5042</v>
      </c>
      <c r="L15" s="6">
        <v>4791925887.0342007</v>
      </c>
      <c r="M15" s="6">
        <v>4945877672.0380993</v>
      </c>
      <c r="N15" s="6">
        <v>5406284144.4244003</v>
      </c>
      <c r="O15" s="6">
        <v>5119943165.1987</v>
      </c>
      <c r="P15" s="6">
        <v>5580116821.6875</v>
      </c>
      <c r="Q15" s="6">
        <v>4918262135.5538006</v>
      </c>
      <c r="R15" s="6">
        <v>5424795518.8031998</v>
      </c>
      <c r="S15" s="6">
        <v>4890942700.9343004</v>
      </c>
      <c r="T15" s="6">
        <v>5512013404.5443001</v>
      </c>
      <c r="U15" s="6">
        <v>4619323767.5049</v>
      </c>
      <c r="V15" s="6">
        <v>5229958630.3749008</v>
      </c>
      <c r="W15" s="6">
        <v>4656643063.9232998</v>
      </c>
      <c r="X15" s="6">
        <v>5267277926.7832994</v>
      </c>
      <c r="Y15" s="10">
        <v>4911055604.8100004</v>
      </c>
      <c r="Z15" s="10">
        <v>5520913668.0900002</v>
      </c>
      <c r="AA15" s="10">
        <f t="shared" si="0"/>
        <v>55857734601.590004</v>
      </c>
      <c r="AB15" s="11">
        <v>26717819044.599998</v>
      </c>
      <c r="AC15" s="10">
        <f t="shared" si="1"/>
        <v>139994322.30974939</v>
      </c>
      <c r="AD15" s="11">
        <f t="shared" si="2"/>
        <v>139994322.30974939</v>
      </c>
    </row>
    <row r="16" spans="1:30" ht="18" customHeight="1" x14ac:dyDescent="0.35">
      <c r="A16" s="4">
        <v>15</v>
      </c>
      <c r="B16" s="5" t="s">
        <v>40</v>
      </c>
      <c r="C16" s="6">
        <v>3381223412.1796999</v>
      </c>
      <c r="D16" s="6">
        <v>3994886006.6396999</v>
      </c>
      <c r="E16" s="6">
        <v>3165845290.4976001</v>
      </c>
      <c r="F16" s="6">
        <v>3784675262.1375999</v>
      </c>
      <c r="G16" s="6">
        <v>3563767345.6300001</v>
      </c>
      <c r="H16" s="6">
        <v>4182597317.27</v>
      </c>
      <c r="I16" s="6">
        <v>3776088761.9582</v>
      </c>
      <c r="J16" s="6">
        <v>4394918733.5981998</v>
      </c>
      <c r="K16" s="6">
        <v>3933535196.4047999</v>
      </c>
      <c r="L16" s="6">
        <v>4544935217.5048008</v>
      </c>
      <c r="M16" s="6">
        <v>4190592661.7410002</v>
      </c>
      <c r="N16" s="6">
        <v>5092464372.6055002</v>
      </c>
      <c r="O16" s="6">
        <v>4242171115.5613999</v>
      </c>
      <c r="P16" s="6">
        <v>5143824768.7685003</v>
      </c>
      <c r="Q16" s="6">
        <v>4064621685.2648001</v>
      </c>
      <c r="R16" s="6">
        <v>5006190912.3094997</v>
      </c>
      <c r="S16" s="6">
        <v>4156465918.54</v>
      </c>
      <c r="T16" s="6">
        <v>5099003913.5200005</v>
      </c>
      <c r="U16" s="6">
        <v>3960320499.1781001</v>
      </c>
      <c r="V16" s="6">
        <v>4892422653.4181004</v>
      </c>
      <c r="W16" s="6">
        <v>3774367845.8698001</v>
      </c>
      <c r="X16" s="6">
        <v>4706470000.0998001</v>
      </c>
      <c r="Y16" s="10">
        <v>4247645859.6900001</v>
      </c>
      <c r="Z16" s="10">
        <v>5077890503.6499996</v>
      </c>
      <c r="AA16" s="10">
        <f t="shared" si="0"/>
        <v>46456645592.515404</v>
      </c>
      <c r="AB16" s="11">
        <v>10563680471.74</v>
      </c>
      <c r="AC16" s="10">
        <f t="shared" si="1"/>
        <v>116432695.72058998</v>
      </c>
      <c r="AD16" s="11">
        <f t="shared" si="2"/>
        <v>116432695.72058998</v>
      </c>
    </row>
    <row r="17" spans="1:30" ht="18" customHeight="1" x14ac:dyDescent="0.35">
      <c r="A17" s="4">
        <v>16</v>
      </c>
      <c r="B17" s="5" t="s">
        <v>41</v>
      </c>
      <c r="C17" s="6">
        <v>4630320923.666399</v>
      </c>
      <c r="D17" s="6">
        <v>5211374001.0963993</v>
      </c>
      <c r="E17" s="6">
        <v>4637080829.9635</v>
      </c>
      <c r="F17" s="6">
        <v>5218133907.3935003</v>
      </c>
      <c r="G17" s="6">
        <v>4995078517.8299999</v>
      </c>
      <c r="H17" s="6">
        <v>5576131595.2599993</v>
      </c>
      <c r="I17" s="6">
        <v>5090747068.8816004</v>
      </c>
      <c r="J17" s="6">
        <v>5671800146.3115997</v>
      </c>
      <c r="K17" s="6">
        <v>4957908670.5151997</v>
      </c>
      <c r="L17" s="6">
        <v>5538961747.9452</v>
      </c>
      <c r="M17" s="6">
        <v>5432163223.6181011</v>
      </c>
      <c r="N17" s="6">
        <v>6499948881.9537001</v>
      </c>
      <c r="O17" s="6">
        <v>5796397302.4614</v>
      </c>
      <c r="P17" s="6">
        <v>6863942263.4361992</v>
      </c>
      <c r="Q17" s="6">
        <v>5020669675.4160004</v>
      </c>
      <c r="R17" s="6">
        <v>6245815572.5736008</v>
      </c>
      <c r="S17" s="6">
        <v>5545431024.4390507</v>
      </c>
      <c r="T17" s="6">
        <v>6822547278.2703991</v>
      </c>
      <c r="U17" s="6">
        <v>4653748870.8277493</v>
      </c>
      <c r="V17" s="6">
        <v>5917360110.5809002</v>
      </c>
      <c r="W17" s="6">
        <v>5133699361.9881496</v>
      </c>
      <c r="X17" s="6">
        <v>6392246766.3205996</v>
      </c>
      <c r="Y17" s="10">
        <v>4543848174.2700005</v>
      </c>
      <c r="Z17" s="10">
        <v>6373760603.2700005</v>
      </c>
      <c r="AA17" s="10">
        <f t="shared" si="0"/>
        <v>60437093643.877151</v>
      </c>
      <c r="AB17" s="11">
        <v>12750370900.92</v>
      </c>
      <c r="AC17" s="10">
        <f t="shared" si="1"/>
        <v>151471412.64129612</v>
      </c>
      <c r="AD17" s="11">
        <f t="shared" si="2"/>
        <v>151471412.64129612</v>
      </c>
    </row>
    <row r="18" spans="1:30" ht="18" customHeight="1" x14ac:dyDescent="0.35">
      <c r="A18" s="4">
        <v>17</v>
      </c>
      <c r="B18" s="5" t="s">
        <v>42</v>
      </c>
      <c r="C18" s="6">
        <v>4714821556.5910997</v>
      </c>
      <c r="D18" s="6">
        <v>4824295775.0510998</v>
      </c>
      <c r="E18" s="6">
        <v>4394753504.5675001</v>
      </c>
      <c r="F18" s="6">
        <v>4504227723.0275002</v>
      </c>
      <c r="G18" s="6">
        <v>4950272201.0699997</v>
      </c>
      <c r="H18" s="6">
        <v>5059746419.5300007</v>
      </c>
      <c r="I18" s="6">
        <v>5122737009.6548004</v>
      </c>
      <c r="J18" s="6">
        <v>5232211228.1148005</v>
      </c>
      <c r="K18" s="6">
        <v>5171882231.7981997</v>
      </c>
      <c r="L18" s="6">
        <v>5281356450.2581997</v>
      </c>
      <c r="M18" s="6">
        <v>5618282736.6429005</v>
      </c>
      <c r="N18" s="6">
        <v>5973355582.5415001</v>
      </c>
      <c r="O18" s="6">
        <v>5849645584.7576008</v>
      </c>
      <c r="P18" s="6">
        <v>6204459538.3163013</v>
      </c>
      <c r="Q18" s="6">
        <v>5582962524.4693003</v>
      </c>
      <c r="R18" s="6">
        <v>5966324351.0060015</v>
      </c>
      <c r="S18" s="6">
        <v>5740858116.6155996</v>
      </c>
      <c r="T18" s="6">
        <v>6123415854.6955996</v>
      </c>
      <c r="U18" s="6">
        <v>5401625977.6937008</v>
      </c>
      <c r="V18" s="6">
        <v>5773747875.0337</v>
      </c>
      <c r="W18" s="6">
        <v>5420024233.7088003</v>
      </c>
      <c r="X18" s="6">
        <v>5792146131.0388002</v>
      </c>
      <c r="Y18" s="10">
        <v>5770652485.8299999</v>
      </c>
      <c r="Z18" s="10">
        <v>6141997583.5799999</v>
      </c>
      <c r="AA18" s="10">
        <f t="shared" si="0"/>
        <v>63738518163.399506</v>
      </c>
      <c r="AB18" s="11">
        <v>16492028726.6</v>
      </c>
      <c r="AC18" s="10">
        <f t="shared" si="1"/>
        <v>159745659.55739224</v>
      </c>
      <c r="AD18" s="11">
        <f t="shared" si="2"/>
        <v>159745659.55739224</v>
      </c>
    </row>
    <row r="19" spans="1:30" ht="18" customHeight="1" x14ac:dyDescent="0.35">
      <c r="A19" s="4">
        <v>18</v>
      </c>
      <c r="B19" s="5" t="s">
        <v>43</v>
      </c>
      <c r="C19" s="6">
        <v>5411809817.7068005</v>
      </c>
      <c r="D19" s="6">
        <v>5912008488.2268</v>
      </c>
      <c r="E19" s="6">
        <v>4819937121.9102993</v>
      </c>
      <c r="F19" s="6">
        <v>5320135792.4302998</v>
      </c>
      <c r="G19" s="6">
        <v>5727886839.8199997</v>
      </c>
      <c r="H19" s="6">
        <v>6228085510.3400002</v>
      </c>
      <c r="I19" s="6">
        <v>6035577102.7015991</v>
      </c>
      <c r="J19" s="6">
        <v>6535775773.2215996</v>
      </c>
      <c r="K19" s="6">
        <v>6096207943.4252005</v>
      </c>
      <c r="L19" s="6">
        <v>6596406613.9452</v>
      </c>
      <c r="M19" s="6">
        <v>6459324549.9960003</v>
      </c>
      <c r="N19" s="6">
        <v>7318527394.9032001</v>
      </c>
      <c r="O19" s="6">
        <v>6851068164.8990002</v>
      </c>
      <c r="P19" s="6">
        <v>7709967687.3183002</v>
      </c>
      <c r="Q19" s="6">
        <v>6201098434.8435001</v>
      </c>
      <c r="R19" s="6">
        <v>7260487027.050601</v>
      </c>
      <c r="S19" s="6">
        <v>6130990849.7813997</v>
      </c>
      <c r="T19" s="6">
        <v>7187646398.3514004</v>
      </c>
      <c r="U19" s="6">
        <v>5757039034.3379002</v>
      </c>
      <c r="V19" s="6">
        <v>6803258742.1679001</v>
      </c>
      <c r="W19" s="6">
        <v>5844244111.2910995</v>
      </c>
      <c r="X19" s="6">
        <v>6890463819.1111002</v>
      </c>
      <c r="Y19" s="10">
        <v>6047909396.6800003</v>
      </c>
      <c r="Z19" s="10">
        <v>7093352304.9200001</v>
      </c>
      <c r="AA19" s="10">
        <f t="shared" si="0"/>
        <v>71383093367.392792</v>
      </c>
      <c r="AB19" s="11">
        <v>52859708980.650002</v>
      </c>
      <c r="AC19" s="10">
        <f t="shared" si="1"/>
        <v>178904995.9082526</v>
      </c>
      <c r="AD19" s="11">
        <f t="shared" si="2"/>
        <v>178904995.9082526</v>
      </c>
    </row>
    <row r="20" spans="1:30" ht="18" customHeight="1" x14ac:dyDescent="0.35">
      <c r="A20" s="4">
        <v>19</v>
      </c>
      <c r="B20" s="5" t="s">
        <v>44</v>
      </c>
      <c r="C20" s="6">
        <v>6956209292.469799</v>
      </c>
      <c r="D20" s="6">
        <v>7306643610.8997993</v>
      </c>
      <c r="E20" s="6">
        <v>6557917302.052</v>
      </c>
      <c r="F20" s="6">
        <v>6908351620.4820004</v>
      </c>
      <c r="G20" s="6">
        <v>6776770399.9300003</v>
      </c>
      <c r="H20" s="6">
        <v>7712435098.3600006</v>
      </c>
      <c r="I20" s="6">
        <v>6866895090.5914993</v>
      </c>
      <c r="J20" s="6">
        <v>7802559789.0214996</v>
      </c>
      <c r="K20" s="6">
        <v>7063955199.9351997</v>
      </c>
      <c r="L20" s="6">
        <v>7999619898.365201</v>
      </c>
      <c r="M20" s="6">
        <v>7506146045.8696003</v>
      </c>
      <c r="N20" s="6">
        <v>8890159498.1507988</v>
      </c>
      <c r="O20" s="6">
        <v>7766052192.4001007</v>
      </c>
      <c r="P20" s="6">
        <v>9397165895.7306004</v>
      </c>
      <c r="Q20" s="6">
        <v>7625179086.3325005</v>
      </c>
      <c r="R20" s="6">
        <v>9019561745.7032013</v>
      </c>
      <c r="S20" s="6">
        <v>7734162291.4314003</v>
      </c>
      <c r="T20" s="6">
        <v>9117843783.1114006</v>
      </c>
      <c r="U20" s="6">
        <v>7319434992.6210995</v>
      </c>
      <c r="V20" s="6">
        <v>8695824479.1711006</v>
      </c>
      <c r="W20" s="6">
        <v>7302580517.1900997</v>
      </c>
      <c r="X20" s="6">
        <v>8678333017.4300995</v>
      </c>
      <c r="Y20" s="10">
        <v>7751933444.04</v>
      </c>
      <c r="Z20" s="10">
        <v>9122552980.3199997</v>
      </c>
      <c r="AA20" s="10">
        <f t="shared" si="0"/>
        <v>87227235854.863281</v>
      </c>
      <c r="AB20" s="11">
        <v>40401652527.940002</v>
      </c>
      <c r="AC20" s="10">
        <f t="shared" si="1"/>
        <v>218614626.20266485</v>
      </c>
      <c r="AD20" s="11">
        <f t="shared" si="2"/>
        <v>218614626.20266485</v>
      </c>
    </row>
    <row r="21" spans="1:30" ht="18" customHeight="1" x14ac:dyDescent="0.35">
      <c r="A21" s="4">
        <v>20</v>
      </c>
      <c r="B21" s="5" t="s">
        <v>45</v>
      </c>
      <c r="C21" s="6">
        <v>5221967030.6210003</v>
      </c>
      <c r="D21" s="6">
        <v>5390990676.8509998</v>
      </c>
      <c r="E21" s="6">
        <v>4836283159.5830994</v>
      </c>
      <c r="F21" s="6">
        <v>5005306805.8130999</v>
      </c>
      <c r="G21" s="6">
        <v>5494418686.5100002</v>
      </c>
      <c r="H21" s="6">
        <v>5663442332.7399998</v>
      </c>
      <c r="I21" s="6">
        <v>5653214722.1787996</v>
      </c>
      <c r="J21" s="6">
        <v>5822238368.4088001</v>
      </c>
      <c r="K21" s="6">
        <v>5716664013.3309002</v>
      </c>
      <c r="L21" s="6">
        <v>5885687659.5608997</v>
      </c>
      <c r="M21" s="6">
        <v>6096230100.6950998</v>
      </c>
      <c r="N21" s="6">
        <v>6632370235.6371002</v>
      </c>
      <c r="O21" s="6">
        <v>6303018794.3025999</v>
      </c>
      <c r="P21" s="6">
        <v>6840327363.1838999</v>
      </c>
      <c r="Q21" s="6">
        <v>5360366445.8976994</v>
      </c>
      <c r="R21" s="6">
        <v>6801011021.1941004</v>
      </c>
      <c r="S21" s="6">
        <v>5294298908.8987999</v>
      </c>
      <c r="T21" s="6">
        <v>6735454645.2787991</v>
      </c>
      <c r="U21" s="6">
        <v>4947470681.1138992</v>
      </c>
      <c r="V21" s="6">
        <v>6376524975.1838989</v>
      </c>
      <c r="W21" s="6">
        <v>4918558800.0258007</v>
      </c>
      <c r="X21" s="6">
        <v>6344885834.9458008</v>
      </c>
      <c r="Y21" s="10">
        <v>5286418899.1999998</v>
      </c>
      <c r="Z21" s="10">
        <v>6712656634.54</v>
      </c>
      <c r="AA21" s="10">
        <f t="shared" si="0"/>
        <v>65128910242.357689</v>
      </c>
      <c r="AB21" s="11">
        <v>12039138669.26</v>
      </c>
      <c r="AC21" s="10">
        <f t="shared" si="1"/>
        <v>163230351.48460573</v>
      </c>
      <c r="AD21" s="11">
        <f t="shared" si="2"/>
        <v>163230351.48460573</v>
      </c>
    </row>
    <row r="22" spans="1:30" ht="18" customHeight="1" x14ac:dyDescent="0.35">
      <c r="A22" s="4">
        <v>21</v>
      </c>
      <c r="B22" s="5" t="s">
        <v>46</v>
      </c>
      <c r="C22" s="6">
        <v>4338273845.0366001</v>
      </c>
      <c r="D22" s="6">
        <v>4437215794.5766001</v>
      </c>
      <c r="E22" s="6">
        <v>4047632905.4587998</v>
      </c>
      <c r="F22" s="6">
        <v>4146574854.9987998</v>
      </c>
      <c r="G22" s="6">
        <v>4503774535.7049999</v>
      </c>
      <c r="H22" s="6">
        <v>4602716485.2449999</v>
      </c>
      <c r="I22" s="6">
        <v>4717655188.6845884</v>
      </c>
      <c r="J22" s="6">
        <v>4816597138.2245884</v>
      </c>
      <c r="K22" s="6">
        <v>4722263203.4550247</v>
      </c>
      <c r="L22" s="6">
        <v>4821205152.9950247</v>
      </c>
      <c r="M22" s="6">
        <v>5063913142.7973499</v>
      </c>
      <c r="N22" s="6">
        <v>5472118408.4210501</v>
      </c>
      <c r="O22" s="6">
        <v>5260437812.3570004</v>
      </c>
      <c r="P22" s="6">
        <v>5668398627.5630999</v>
      </c>
      <c r="Q22" s="6">
        <v>5010865611.3635502</v>
      </c>
      <c r="R22" s="6">
        <v>5450501418.8939505</v>
      </c>
      <c r="S22" s="6">
        <v>5142042224.4697008</v>
      </c>
      <c r="T22" s="6">
        <v>5634296012.7027998</v>
      </c>
      <c r="U22" s="6">
        <v>4829123187.7241001</v>
      </c>
      <c r="V22" s="6">
        <v>5307824106.0086994</v>
      </c>
      <c r="W22" s="6">
        <v>4807117653.9225502</v>
      </c>
      <c r="X22" s="6">
        <v>5280675779.2776003</v>
      </c>
      <c r="Y22" s="10">
        <v>5085927538.6199999</v>
      </c>
      <c r="Z22" s="10">
        <v>5562002046.3999996</v>
      </c>
      <c r="AA22" s="10">
        <f t="shared" si="0"/>
        <v>57529026849.594261</v>
      </c>
      <c r="AB22" s="11">
        <v>9857039462.25</v>
      </c>
      <c r="AC22" s="10">
        <f t="shared" si="1"/>
        <v>144183024.68569991</v>
      </c>
      <c r="AD22" s="11">
        <f t="shared" si="2"/>
        <v>144183024.68569991</v>
      </c>
    </row>
    <row r="23" spans="1:30" ht="18" customHeight="1" x14ac:dyDescent="0.35">
      <c r="A23" s="4">
        <v>22</v>
      </c>
      <c r="B23" s="5" t="s">
        <v>47</v>
      </c>
      <c r="C23" s="6">
        <v>4244520884.6963</v>
      </c>
      <c r="D23" s="6">
        <v>4591232963.1763</v>
      </c>
      <c r="E23" s="6">
        <v>4097534285.3864999</v>
      </c>
      <c r="F23" s="6">
        <v>4444246363.8664999</v>
      </c>
      <c r="G23" s="6">
        <v>4409515034.8500004</v>
      </c>
      <c r="H23" s="6">
        <v>4756227113.3299999</v>
      </c>
      <c r="I23" s="6">
        <v>4739312508.4651546</v>
      </c>
      <c r="J23" s="6">
        <v>4996628090.5251551</v>
      </c>
      <c r="K23" s="6">
        <v>4818322166.7716961</v>
      </c>
      <c r="L23" s="6">
        <v>5139237214.1516972</v>
      </c>
      <c r="M23" s="6">
        <v>5025117022.1754503</v>
      </c>
      <c r="N23" s="6">
        <v>5681594899.8956509</v>
      </c>
      <c r="O23" s="6">
        <v>4920320804.3806</v>
      </c>
      <c r="P23" s="6">
        <v>5936433198.6505985</v>
      </c>
      <c r="Q23" s="6">
        <v>4577945602.480751</v>
      </c>
      <c r="R23" s="6">
        <v>5647731254.0585499</v>
      </c>
      <c r="S23" s="6">
        <v>4650716512.6854</v>
      </c>
      <c r="T23" s="6">
        <v>5808423304.4806004</v>
      </c>
      <c r="U23" s="6">
        <v>4384502295.3111496</v>
      </c>
      <c r="V23" s="6">
        <v>5521064616.3563004</v>
      </c>
      <c r="W23" s="6">
        <v>4303338308.22785</v>
      </c>
      <c r="X23" s="6">
        <v>5434517677.6358995</v>
      </c>
      <c r="Y23" s="10">
        <v>4701822910.1700001</v>
      </c>
      <c r="Z23" s="10">
        <v>5835672447.3699999</v>
      </c>
      <c r="AA23" s="10">
        <f t="shared" si="0"/>
        <v>54872968335.600853</v>
      </c>
      <c r="AB23" s="11">
        <v>23405613863</v>
      </c>
      <c r="AC23" s="10">
        <f t="shared" si="1"/>
        <v>137526236.43007731</v>
      </c>
      <c r="AD23" s="11">
        <f t="shared" si="2"/>
        <v>137526236.43007731</v>
      </c>
    </row>
    <row r="24" spans="1:30" ht="18" customHeight="1" x14ac:dyDescent="0.35">
      <c r="A24" s="4">
        <v>23</v>
      </c>
      <c r="B24" s="5" t="s">
        <v>48</v>
      </c>
      <c r="C24" s="6">
        <v>3579792341.9145002</v>
      </c>
      <c r="D24" s="6">
        <v>3872437859.1244998</v>
      </c>
      <c r="E24" s="6">
        <v>3339351286.0293002</v>
      </c>
      <c r="F24" s="6">
        <v>3631996803.2392998</v>
      </c>
      <c r="G24" s="6">
        <v>3739720908.3800001</v>
      </c>
      <c r="H24" s="6">
        <v>4032366425.5900002</v>
      </c>
      <c r="I24" s="6">
        <v>3926813408.7723918</v>
      </c>
      <c r="J24" s="6">
        <v>4219458925.9823918</v>
      </c>
      <c r="K24" s="6">
        <v>3969360828.5927749</v>
      </c>
      <c r="L24" s="6">
        <v>4262006345.8027749</v>
      </c>
      <c r="M24" s="6">
        <v>4202166667.1642499</v>
      </c>
      <c r="N24" s="6">
        <v>4779141052.2803497</v>
      </c>
      <c r="O24" s="6">
        <v>4361336883.2191</v>
      </c>
      <c r="P24" s="6">
        <v>4938105194.9934998</v>
      </c>
      <c r="Q24" s="6">
        <v>3499591868.5244002</v>
      </c>
      <c r="R24" s="6">
        <v>4752144855.2504997</v>
      </c>
      <c r="S24" s="6">
        <v>3561491762.0798998</v>
      </c>
      <c r="T24" s="6">
        <v>4860040416.4722004</v>
      </c>
      <c r="U24" s="6">
        <v>3389702846.6634998</v>
      </c>
      <c r="V24" s="6">
        <v>4675187983.7856007</v>
      </c>
      <c r="W24" s="6">
        <v>3350819811.7329001</v>
      </c>
      <c r="X24" s="6">
        <v>4631969539.9245996</v>
      </c>
      <c r="Y24" s="10">
        <v>3731853712.48</v>
      </c>
      <c r="Z24" s="10">
        <v>5015002815.6099997</v>
      </c>
      <c r="AA24" s="10">
        <f t="shared" si="0"/>
        <v>44652002325.553017</v>
      </c>
      <c r="AB24" s="11">
        <v>26961014485.75</v>
      </c>
      <c r="AC24" s="10">
        <f t="shared" si="1"/>
        <v>111909780.26454391</v>
      </c>
      <c r="AD24" s="11">
        <f t="shared" si="2"/>
        <v>111909780.26454391</v>
      </c>
    </row>
    <row r="25" spans="1:30" ht="18" customHeight="1" x14ac:dyDescent="0.35">
      <c r="A25" s="4">
        <v>24</v>
      </c>
      <c r="B25" s="5" t="s">
        <v>49</v>
      </c>
      <c r="C25" s="6">
        <v>10320942931.697201</v>
      </c>
      <c r="D25" s="6">
        <v>14945753211.437201</v>
      </c>
      <c r="E25" s="6">
        <v>8698778107.8910999</v>
      </c>
      <c r="F25" s="6">
        <v>13323588387.6311</v>
      </c>
      <c r="G25" s="6">
        <v>12022154386.07</v>
      </c>
      <c r="H25" s="6">
        <v>16646964665.809999</v>
      </c>
      <c r="I25" s="6">
        <v>11266495659.778099</v>
      </c>
      <c r="J25" s="6">
        <v>15891305939.518101</v>
      </c>
      <c r="K25" s="6">
        <v>10012664971.753401</v>
      </c>
      <c r="L25" s="6">
        <v>14637475251.493401</v>
      </c>
      <c r="M25" s="6">
        <v>9779910185.0130005</v>
      </c>
      <c r="N25" s="6">
        <v>14405580459.1852</v>
      </c>
      <c r="O25" s="6">
        <v>14410508237.108601</v>
      </c>
      <c r="P25" s="6">
        <v>19035868382.295601</v>
      </c>
      <c r="Q25" s="6">
        <v>11707626165.6161</v>
      </c>
      <c r="R25" s="6">
        <v>17451053192.807098</v>
      </c>
      <c r="S25" s="6">
        <v>11357111670.0333</v>
      </c>
      <c r="T25" s="6">
        <v>17097510146.403299</v>
      </c>
      <c r="U25" s="6">
        <v>11773188423.4725</v>
      </c>
      <c r="V25" s="6">
        <v>16503151059.092501</v>
      </c>
      <c r="W25" s="6">
        <v>12983700304.960199</v>
      </c>
      <c r="X25" s="6">
        <v>17713662940.5802</v>
      </c>
      <c r="Y25" s="10">
        <v>13037989726.129999</v>
      </c>
      <c r="Z25" s="10">
        <v>17767175562.16</v>
      </c>
      <c r="AA25" s="10">
        <f t="shared" si="0"/>
        <v>137371070769.52351</v>
      </c>
      <c r="AB25" s="11">
        <v>753464683707.90002</v>
      </c>
      <c r="AC25" s="10">
        <f t="shared" si="1"/>
        <v>344288397.91860527</v>
      </c>
      <c r="AD25" s="11">
        <f t="shared" si="2"/>
        <v>344288397.91860527</v>
      </c>
    </row>
    <row r="26" spans="1:30" ht="18" customHeight="1" x14ac:dyDescent="0.35">
      <c r="A26" s="4">
        <v>25</v>
      </c>
      <c r="B26" s="5" t="s">
        <v>50</v>
      </c>
      <c r="C26" s="6">
        <v>3738201876.8421998</v>
      </c>
      <c r="D26" s="6">
        <v>3897906301.7821999</v>
      </c>
      <c r="E26" s="6">
        <v>3438542220.2182999</v>
      </c>
      <c r="F26" s="6">
        <v>3598246645.158299</v>
      </c>
      <c r="G26" s="6">
        <v>3919917526.27</v>
      </c>
      <c r="H26" s="6">
        <v>4079621951.21</v>
      </c>
      <c r="I26" s="6">
        <v>4050959612.6052008</v>
      </c>
      <c r="J26" s="6">
        <v>4210664037.5451999</v>
      </c>
      <c r="K26" s="6">
        <v>4111921094.4661999</v>
      </c>
      <c r="L26" s="6">
        <v>4271625519.4061999</v>
      </c>
      <c r="M26" s="6">
        <v>4394456641.1322002</v>
      </c>
      <c r="N26" s="6">
        <v>4833965319.5775003</v>
      </c>
      <c r="O26" s="6">
        <v>4599459883.7835999</v>
      </c>
      <c r="P26" s="6">
        <v>5038755069.8039999</v>
      </c>
      <c r="Q26" s="6">
        <v>4294795370.1072001</v>
      </c>
      <c r="R26" s="6">
        <v>4781853966.0356998</v>
      </c>
      <c r="S26" s="6">
        <v>4383090186.2616997</v>
      </c>
      <c r="T26" s="6">
        <v>4871315751.7817001</v>
      </c>
      <c r="U26" s="6">
        <v>4169640258.1812</v>
      </c>
      <c r="V26" s="6">
        <v>4647429982.9611988</v>
      </c>
      <c r="W26" s="6">
        <v>4098801343.4506998</v>
      </c>
      <c r="X26" s="6">
        <v>4576591068.2206993</v>
      </c>
      <c r="Y26" s="10">
        <v>4390916111.1899996</v>
      </c>
      <c r="Z26" s="10">
        <v>4867929036.3800001</v>
      </c>
      <c r="AA26" s="10">
        <f t="shared" si="0"/>
        <v>49590702124.508499</v>
      </c>
      <c r="AB26" s="11">
        <v>20674185462.400002</v>
      </c>
      <c r="AC26" s="10">
        <f t="shared" si="1"/>
        <v>124287473.99626191</v>
      </c>
      <c r="AD26" s="11">
        <f t="shared" si="2"/>
        <v>124287473.99626191</v>
      </c>
    </row>
    <row r="27" spans="1:30" ht="18" customHeight="1" x14ac:dyDescent="0.35">
      <c r="A27" s="4">
        <v>26</v>
      </c>
      <c r="B27" s="5" t="s">
        <v>51</v>
      </c>
      <c r="C27" s="6">
        <v>4110088200.5078001</v>
      </c>
      <c r="D27" s="6">
        <v>4966535175.1577997</v>
      </c>
      <c r="E27" s="6">
        <v>3937852782.4334998</v>
      </c>
      <c r="F27" s="6">
        <v>4576472316.0834999</v>
      </c>
      <c r="G27" s="6">
        <v>4511856980.3299999</v>
      </c>
      <c r="H27" s="6">
        <v>5150476513.9799995</v>
      </c>
      <c r="I27" s="6">
        <v>4747056764.2652254</v>
      </c>
      <c r="J27" s="6">
        <v>5385676297.915225</v>
      </c>
      <c r="K27" s="6">
        <v>4757672872.051506</v>
      </c>
      <c r="L27" s="6">
        <v>5396292405.7015057</v>
      </c>
      <c r="M27" s="6">
        <v>5155258601.0205498</v>
      </c>
      <c r="N27" s="6">
        <v>6118386373.9335499</v>
      </c>
      <c r="O27" s="6">
        <v>5625470634.9299994</v>
      </c>
      <c r="P27" s="6">
        <v>6310290449.3688993</v>
      </c>
      <c r="Q27" s="6">
        <v>5424303020.1876497</v>
      </c>
      <c r="R27" s="6">
        <v>6141264621.0934496</v>
      </c>
      <c r="S27" s="6">
        <v>5536284370.5089502</v>
      </c>
      <c r="T27" s="6">
        <v>6275286639.1451006</v>
      </c>
      <c r="U27" s="6">
        <v>5177017676.2585497</v>
      </c>
      <c r="V27" s="6">
        <v>5920079508.2579994</v>
      </c>
      <c r="W27" s="6">
        <v>5123506773.3287506</v>
      </c>
      <c r="X27" s="6">
        <v>5860343459.3257999</v>
      </c>
      <c r="Y27" s="10">
        <v>5414521242.5699997</v>
      </c>
      <c r="Z27" s="10">
        <v>6154137980.3199997</v>
      </c>
      <c r="AA27" s="10">
        <f t="shared" si="0"/>
        <v>59520889918.392487</v>
      </c>
      <c r="AB27" s="11">
        <v>16224676971.27</v>
      </c>
      <c r="AC27" s="10">
        <f t="shared" si="1"/>
        <v>149175162.70273808</v>
      </c>
      <c r="AD27" s="11">
        <f t="shared" si="2"/>
        <v>149175162.70273808</v>
      </c>
    </row>
    <row r="28" spans="1:30" ht="18" customHeight="1" x14ac:dyDescent="0.35">
      <c r="A28" s="4">
        <v>27</v>
      </c>
      <c r="B28" s="5" t="s">
        <v>52</v>
      </c>
      <c r="C28" s="6">
        <v>3345585462.3544002</v>
      </c>
      <c r="D28" s="6">
        <v>4349553006.7544003</v>
      </c>
      <c r="E28" s="6">
        <v>3003540158.2690001</v>
      </c>
      <c r="F28" s="6">
        <v>4007507702.6690001</v>
      </c>
      <c r="G28" s="6">
        <v>3594091537.6599998</v>
      </c>
      <c r="H28" s="6">
        <v>4598059082.0599995</v>
      </c>
      <c r="I28" s="6">
        <v>3853023777.7077999</v>
      </c>
      <c r="J28" s="6">
        <v>4856991322.1077995</v>
      </c>
      <c r="K28" s="6">
        <v>4107444165.5405998</v>
      </c>
      <c r="L28" s="6">
        <v>5111411709.9405994</v>
      </c>
      <c r="M28" s="6">
        <v>3980266864.8582001</v>
      </c>
      <c r="N28" s="6">
        <v>5384950126.7606001</v>
      </c>
      <c r="O28" s="6">
        <v>4015885897.3095999</v>
      </c>
      <c r="P28" s="6">
        <v>5420354081.1786985</v>
      </c>
      <c r="Q28" s="6">
        <v>3835464594.1374998</v>
      </c>
      <c r="R28" s="6">
        <v>5292487840.6687002</v>
      </c>
      <c r="S28" s="6">
        <v>3804536714.4777999</v>
      </c>
      <c r="T28" s="6">
        <v>5418908090.6807985</v>
      </c>
      <c r="U28" s="6">
        <v>3457146578.7589002</v>
      </c>
      <c r="V28" s="6">
        <v>5061082114.2189007</v>
      </c>
      <c r="W28" s="6">
        <v>3445373687.0071001</v>
      </c>
      <c r="X28" s="6">
        <v>5049309222.4570999</v>
      </c>
      <c r="Y28" s="10">
        <v>3707473846.27</v>
      </c>
      <c r="Z28" s="10">
        <v>5310632582.1400003</v>
      </c>
      <c r="AA28" s="10">
        <f t="shared" si="0"/>
        <v>44149833284.350899</v>
      </c>
      <c r="AB28" s="11">
        <v>100733671788.55</v>
      </c>
      <c r="AC28" s="10">
        <f t="shared" si="1"/>
        <v>110651211.23897469</v>
      </c>
      <c r="AD28" s="11">
        <f t="shared" si="2"/>
        <v>110651211.23897469</v>
      </c>
    </row>
    <row r="29" spans="1:30" ht="18" customHeight="1" x14ac:dyDescent="0.35">
      <c r="A29" s="4">
        <v>28</v>
      </c>
      <c r="B29" s="5" t="s">
        <v>53</v>
      </c>
      <c r="C29" s="6">
        <v>3753701806.2332001</v>
      </c>
      <c r="D29" s="6">
        <v>4944318611.3431997</v>
      </c>
      <c r="E29" s="6">
        <v>3883635483.4092999</v>
      </c>
      <c r="F29" s="6">
        <v>5074216288.5193005</v>
      </c>
      <c r="G29" s="6">
        <v>4145237588.8600011</v>
      </c>
      <c r="H29" s="6">
        <v>5335818393.9700003</v>
      </c>
      <c r="I29" s="6">
        <v>4228516569.3694</v>
      </c>
      <c r="J29" s="6">
        <v>5419097374.4793997</v>
      </c>
      <c r="K29" s="6">
        <v>4151920590.9184008</v>
      </c>
      <c r="L29" s="6">
        <v>5342501396.0283995</v>
      </c>
      <c r="M29" s="6">
        <v>4863502047.0611</v>
      </c>
      <c r="N29" s="6">
        <v>6384522818.0405998</v>
      </c>
      <c r="O29" s="6">
        <v>5086563221.6587</v>
      </c>
      <c r="P29" s="6">
        <v>6607368488.5109997</v>
      </c>
      <c r="Q29" s="6">
        <v>4371536566.1632004</v>
      </c>
      <c r="R29" s="6">
        <v>5920828315.8958006</v>
      </c>
      <c r="S29" s="6">
        <v>5039658275.7047005</v>
      </c>
      <c r="T29" s="6">
        <v>6636573060.7868004</v>
      </c>
      <c r="U29" s="6">
        <v>3969687420.0559511</v>
      </c>
      <c r="V29" s="6">
        <v>5553418434.3028011</v>
      </c>
      <c r="W29" s="6">
        <v>4663176293.1174002</v>
      </c>
      <c r="X29" s="6">
        <v>6242373492.0273991</v>
      </c>
      <c r="Y29" s="10">
        <v>4577366065.96</v>
      </c>
      <c r="Z29" s="10">
        <v>6158689689.0699997</v>
      </c>
      <c r="AA29" s="10">
        <f t="shared" si="0"/>
        <v>52734501928.51136</v>
      </c>
      <c r="AB29" s="11">
        <v>30833972734.84</v>
      </c>
      <c r="AC29" s="10">
        <f t="shared" si="1"/>
        <v>132166671.50002848</v>
      </c>
      <c r="AD29" s="11">
        <f t="shared" si="2"/>
        <v>132166671.50002848</v>
      </c>
    </row>
    <row r="30" spans="1:30" ht="18" customHeight="1" x14ac:dyDescent="0.35">
      <c r="A30" s="4">
        <v>29</v>
      </c>
      <c r="B30" s="5" t="s">
        <v>54</v>
      </c>
      <c r="C30" s="6">
        <v>2685130209.0244002</v>
      </c>
      <c r="D30" s="6">
        <v>4089796747.6644001</v>
      </c>
      <c r="E30" s="6">
        <v>2408445127.3390002</v>
      </c>
      <c r="F30" s="6">
        <v>3813111665.9790001</v>
      </c>
      <c r="G30" s="6">
        <v>2901210406.27</v>
      </c>
      <c r="H30" s="6">
        <v>4305876944.9099998</v>
      </c>
      <c r="I30" s="6">
        <v>3044036763.9171</v>
      </c>
      <c r="J30" s="6">
        <v>4448703302.5570993</v>
      </c>
      <c r="K30" s="6">
        <v>3113705677.3607998</v>
      </c>
      <c r="L30" s="6">
        <v>4518372216.0008001</v>
      </c>
      <c r="M30" s="6">
        <v>3245066333.2563</v>
      </c>
      <c r="N30" s="6">
        <v>5038002851.7466002</v>
      </c>
      <c r="O30" s="6">
        <v>3404507974.0015998</v>
      </c>
      <c r="P30" s="6">
        <v>5197233357.2665005</v>
      </c>
      <c r="Q30" s="6">
        <v>3220976104.3505001</v>
      </c>
      <c r="R30" s="6">
        <v>5067887574.2371998</v>
      </c>
      <c r="S30" s="6">
        <v>3299200230.1946001</v>
      </c>
      <c r="T30" s="6">
        <v>5147381008.5576</v>
      </c>
      <c r="U30" s="6">
        <v>3004251099.6377001</v>
      </c>
      <c r="V30" s="6">
        <v>4841996037.2577</v>
      </c>
      <c r="W30" s="6">
        <v>3011118491.6794</v>
      </c>
      <c r="X30" s="6">
        <v>4848863429.2894001</v>
      </c>
      <c r="Y30" s="10">
        <v>3259143106.48</v>
      </c>
      <c r="Z30" s="10">
        <v>5096111244.5100002</v>
      </c>
      <c r="AA30" s="10">
        <f t="shared" si="0"/>
        <v>36596791523.511398</v>
      </c>
      <c r="AB30" s="11">
        <v>21855392562.610001</v>
      </c>
      <c r="AC30" s="10">
        <f t="shared" si="1"/>
        <v>91721282.013813034</v>
      </c>
      <c r="AD30" s="11">
        <f t="shared" si="2"/>
        <v>91721282.013813034</v>
      </c>
    </row>
    <row r="31" spans="1:30" ht="18" customHeight="1" x14ac:dyDescent="0.35">
      <c r="A31" s="4">
        <v>30</v>
      </c>
      <c r="B31" s="5" t="s">
        <v>55</v>
      </c>
      <c r="C31" s="6">
        <v>5335217301.1531</v>
      </c>
      <c r="D31" s="6">
        <v>6216318687.6931</v>
      </c>
      <c r="E31" s="6">
        <v>4982764086.7849998</v>
      </c>
      <c r="F31" s="6">
        <v>5863865473.3249998</v>
      </c>
      <c r="G31" s="6">
        <v>5739586233.4300003</v>
      </c>
      <c r="H31" s="6">
        <v>6665772334.0899992</v>
      </c>
      <c r="I31" s="6">
        <v>5881878028.1981001</v>
      </c>
      <c r="J31" s="6">
        <v>6708151193.8580999</v>
      </c>
      <c r="K31" s="6">
        <v>6124837312.4007988</v>
      </c>
      <c r="L31" s="6">
        <v>6951110478.0607986</v>
      </c>
      <c r="M31" s="6">
        <v>6114813749.7820005</v>
      </c>
      <c r="N31" s="6">
        <v>7342388664.6301003</v>
      </c>
      <c r="O31" s="6">
        <v>6032869201.4706001</v>
      </c>
      <c r="P31" s="6">
        <v>7288427593.3150997</v>
      </c>
      <c r="Q31" s="6">
        <v>5617738183.7432003</v>
      </c>
      <c r="R31" s="6">
        <v>7082153788.0925007</v>
      </c>
      <c r="S31" s="6">
        <v>5969532256.3111992</v>
      </c>
      <c r="T31" s="6">
        <v>7433110667.7542</v>
      </c>
      <c r="U31" s="6">
        <v>4993393894.2475004</v>
      </c>
      <c r="V31" s="6">
        <v>7196536464.9475002</v>
      </c>
      <c r="W31" s="6">
        <v>5030898599.0365</v>
      </c>
      <c r="X31" s="6">
        <v>7234041169.7264996</v>
      </c>
      <c r="Y31" s="10">
        <v>5332434881.4799995</v>
      </c>
      <c r="Z31" s="10">
        <v>7534800652.5900002</v>
      </c>
      <c r="AA31" s="10">
        <f t="shared" si="0"/>
        <v>67155963728.037994</v>
      </c>
      <c r="AB31" s="11">
        <v>52088670955.370003</v>
      </c>
      <c r="AC31" s="10">
        <f t="shared" si="1"/>
        <v>168310686.03518295</v>
      </c>
      <c r="AD31" s="11">
        <f t="shared" si="2"/>
        <v>168310686.03518295</v>
      </c>
    </row>
    <row r="32" spans="1:30" ht="18" customHeight="1" x14ac:dyDescent="0.35">
      <c r="A32" s="4">
        <v>31</v>
      </c>
      <c r="B32" s="5" t="s">
        <v>56</v>
      </c>
      <c r="C32" s="6">
        <v>3085325653.0846</v>
      </c>
      <c r="D32" s="6">
        <v>4506155440.7695999</v>
      </c>
      <c r="E32" s="6">
        <v>2724744107.1680002</v>
      </c>
      <c r="F32" s="6">
        <v>4145573894.8579988</v>
      </c>
      <c r="G32" s="6">
        <v>3267265819.4850011</v>
      </c>
      <c r="H32" s="6">
        <v>4688095607.1750011</v>
      </c>
      <c r="I32" s="6">
        <v>3352721016.5311441</v>
      </c>
      <c r="J32" s="6">
        <v>4773550804.2211437</v>
      </c>
      <c r="K32" s="6">
        <v>3526658111.9154921</v>
      </c>
      <c r="L32" s="6">
        <v>4947487899.6054916</v>
      </c>
      <c r="M32" s="6">
        <v>3785733356.282351</v>
      </c>
      <c r="N32" s="6">
        <v>5547398961.1441498</v>
      </c>
      <c r="O32" s="6">
        <v>3926587045.6160498</v>
      </c>
      <c r="P32" s="6">
        <v>5688010903.2619495</v>
      </c>
      <c r="Q32" s="6">
        <v>3631927135.1855001</v>
      </c>
      <c r="R32" s="6">
        <v>5433306445.527401</v>
      </c>
      <c r="S32" s="6">
        <v>3726491201.3987498</v>
      </c>
      <c r="T32" s="6">
        <v>5580022030.4531002</v>
      </c>
      <c r="U32" s="6">
        <v>3470490082.191</v>
      </c>
      <c r="V32" s="6">
        <v>5310502510.2865</v>
      </c>
      <c r="W32" s="6">
        <v>3454503548.9643512</v>
      </c>
      <c r="X32" s="6">
        <v>5289430054.5839005</v>
      </c>
      <c r="Y32" s="10">
        <v>3820199329.9200001</v>
      </c>
      <c r="Z32" s="10">
        <v>5657605801.0299997</v>
      </c>
      <c r="AA32" s="10">
        <f t="shared" si="0"/>
        <v>41772646407.742241</v>
      </c>
      <c r="AB32" s="11">
        <v>21426017408.049999</v>
      </c>
      <c r="AC32" s="10">
        <f t="shared" si="1"/>
        <v>104693349.3928377</v>
      </c>
      <c r="AD32" s="11">
        <f t="shared" si="2"/>
        <v>104693349.3928377</v>
      </c>
    </row>
    <row r="33" spans="1:30" ht="18" customHeight="1" x14ac:dyDescent="0.35">
      <c r="A33" s="4">
        <v>32</v>
      </c>
      <c r="B33" s="5" t="s">
        <v>57</v>
      </c>
      <c r="C33" s="6">
        <v>9969645593.2445011</v>
      </c>
      <c r="D33" s="6">
        <v>10512453045.484501</v>
      </c>
      <c r="E33" s="6">
        <v>13390121762.611</v>
      </c>
      <c r="F33" s="6">
        <v>13932929214.851</v>
      </c>
      <c r="G33" s="6">
        <v>12873742900.84</v>
      </c>
      <c r="H33" s="6">
        <v>13416550353.08</v>
      </c>
      <c r="I33" s="6">
        <v>12989216438.559999</v>
      </c>
      <c r="J33" s="6">
        <v>13532023890.799999</v>
      </c>
      <c r="K33" s="6">
        <v>11459535641.7682</v>
      </c>
      <c r="L33" s="6">
        <v>12002343094.0082</v>
      </c>
      <c r="M33" s="6">
        <v>18210998060.228802</v>
      </c>
      <c r="N33" s="6">
        <v>19126054333.450199</v>
      </c>
      <c r="O33" s="6">
        <v>16468419293.930799</v>
      </c>
      <c r="P33" s="6">
        <v>17383225899.4809</v>
      </c>
      <c r="Q33" s="6">
        <v>11398455197.469</v>
      </c>
      <c r="R33" s="6">
        <v>12380783432.152</v>
      </c>
      <c r="S33" s="6">
        <v>17113392918.76775</v>
      </c>
      <c r="T33" s="6">
        <v>18149239418.6315</v>
      </c>
      <c r="U33" s="6">
        <v>10233033030.0189</v>
      </c>
      <c r="V33" s="6">
        <v>11255260133.837299</v>
      </c>
      <c r="W33" s="6">
        <v>16192374249.9321</v>
      </c>
      <c r="X33" s="6">
        <v>17209348799.2813</v>
      </c>
      <c r="Y33" s="10">
        <v>14295910665.139999</v>
      </c>
      <c r="Z33" s="10">
        <v>15315471882.6</v>
      </c>
      <c r="AA33" s="10">
        <f t="shared" si="0"/>
        <v>164594845752.51105</v>
      </c>
      <c r="AB33" s="11">
        <v>123347774975.89999</v>
      </c>
      <c r="AC33" s="10">
        <f t="shared" si="1"/>
        <v>412518410.40729588</v>
      </c>
      <c r="AD33" s="11">
        <f t="shared" si="2"/>
        <v>412518410.40729588</v>
      </c>
    </row>
    <row r="34" spans="1:30" ht="18" customHeight="1" x14ac:dyDescent="0.35">
      <c r="A34" s="4">
        <v>33</v>
      </c>
      <c r="B34" s="5" t="s">
        <v>58</v>
      </c>
      <c r="C34" s="6">
        <v>4397383747.7750998</v>
      </c>
      <c r="D34" s="6">
        <v>4800280056.3351002</v>
      </c>
      <c r="E34" s="6">
        <v>3992341564.4502001</v>
      </c>
      <c r="F34" s="6">
        <v>4394226027.5901995</v>
      </c>
      <c r="G34" s="6">
        <v>4637545377.21</v>
      </c>
      <c r="H34" s="6">
        <v>5039429840.3500004</v>
      </c>
      <c r="I34" s="6">
        <v>4690012336.4911003</v>
      </c>
      <c r="J34" s="6">
        <v>5091896799.6310997</v>
      </c>
      <c r="K34" s="6">
        <v>4729235886.1764994</v>
      </c>
      <c r="L34" s="6">
        <v>5131120349.3164997</v>
      </c>
      <c r="M34" s="6">
        <v>5077349912.4714003</v>
      </c>
      <c r="N34" s="6">
        <v>5815635260.5464001</v>
      </c>
      <c r="O34" s="6">
        <v>5273996095.3677006</v>
      </c>
      <c r="P34" s="6">
        <v>6012026305.7283993</v>
      </c>
      <c r="Q34" s="6">
        <v>4754138830.4595003</v>
      </c>
      <c r="R34" s="6">
        <v>5746624822.0811005</v>
      </c>
      <c r="S34" s="6">
        <v>4883799147.5312004</v>
      </c>
      <c r="T34" s="6">
        <v>5879350090.4741993</v>
      </c>
      <c r="U34" s="6">
        <v>4674494646.3379002</v>
      </c>
      <c r="V34" s="6">
        <v>5659609748.5379</v>
      </c>
      <c r="W34" s="6">
        <v>4649074148.6728992</v>
      </c>
      <c r="X34" s="6">
        <v>5634189250.8628998</v>
      </c>
      <c r="Y34" s="10">
        <v>4893995096.3999996</v>
      </c>
      <c r="Z34" s="10">
        <v>5878333399.0100002</v>
      </c>
      <c r="AA34" s="10">
        <f t="shared" si="0"/>
        <v>56653366789.343506</v>
      </c>
      <c r="AB34" s="11">
        <v>23762999758.130001</v>
      </c>
      <c r="AC34" s="10">
        <f t="shared" si="1"/>
        <v>141988387.9432168</v>
      </c>
      <c r="AD34" s="11">
        <f t="shared" si="2"/>
        <v>141988387.9432168</v>
      </c>
    </row>
    <row r="35" spans="1:30" ht="18" customHeight="1" x14ac:dyDescent="0.35">
      <c r="A35" s="4">
        <v>34</v>
      </c>
      <c r="B35" s="5" t="s">
        <v>59</v>
      </c>
      <c r="C35" s="6">
        <v>3241439484.6957998</v>
      </c>
      <c r="D35" s="6">
        <v>4031026830.7258</v>
      </c>
      <c r="E35" s="6">
        <v>2983169428.4184999</v>
      </c>
      <c r="F35" s="6">
        <v>3772756774.4485002</v>
      </c>
      <c r="G35" s="6">
        <v>3424980587.2800002</v>
      </c>
      <c r="H35" s="6">
        <v>4214567933.309999</v>
      </c>
      <c r="I35" s="6">
        <v>3660167711.0819998</v>
      </c>
      <c r="J35" s="6">
        <v>4449755057.1120005</v>
      </c>
      <c r="K35" s="6">
        <v>3630726620.9823999</v>
      </c>
      <c r="L35" s="6">
        <v>4420313967.0123997</v>
      </c>
      <c r="M35" s="6">
        <v>3912608420.2472</v>
      </c>
      <c r="N35" s="6">
        <v>5032269106.1218996</v>
      </c>
      <c r="O35" s="6">
        <v>4110568147.0011988</v>
      </c>
      <c r="P35" s="6">
        <v>5230005831.8709993</v>
      </c>
      <c r="Q35" s="6">
        <v>3741008048.7438989</v>
      </c>
      <c r="R35" s="6">
        <v>4984487474.2446003</v>
      </c>
      <c r="S35" s="6">
        <v>3913027356.5832</v>
      </c>
      <c r="T35" s="6">
        <v>5107660932.3362007</v>
      </c>
      <c r="U35" s="6">
        <v>3732394983.4562998</v>
      </c>
      <c r="V35" s="6">
        <v>4916592718.4663</v>
      </c>
      <c r="W35" s="6">
        <v>3590526532.2493</v>
      </c>
      <c r="X35" s="6">
        <v>4774724267.2493</v>
      </c>
      <c r="Y35" s="10">
        <v>4010787497.77</v>
      </c>
      <c r="Z35" s="10">
        <v>5166208433.1899996</v>
      </c>
      <c r="AA35" s="10">
        <f t="shared" si="0"/>
        <v>43951404818.509789</v>
      </c>
      <c r="AB35" s="11">
        <v>9625942713.7800007</v>
      </c>
      <c r="AC35" s="10">
        <f t="shared" si="1"/>
        <v>110153896.78824508</v>
      </c>
      <c r="AD35" s="11">
        <f t="shared" si="2"/>
        <v>110153896.78824508</v>
      </c>
    </row>
    <row r="36" spans="1:30" ht="18" customHeight="1" x14ac:dyDescent="0.35">
      <c r="A36" s="4">
        <v>35</v>
      </c>
      <c r="B36" s="5" t="s">
        <v>60</v>
      </c>
      <c r="C36" s="6">
        <v>4258353586.0879002</v>
      </c>
      <c r="D36" s="6">
        <v>4424214118.4878998</v>
      </c>
      <c r="E36" s="6">
        <v>3790510328.9527998</v>
      </c>
      <c r="F36" s="6">
        <v>3956370861.3527999</v>
      </c>
      <c r="G36" s="6">
        <v>4489166969.3400002</v>
      </c>
      <c r="H36" s="6">
        <v>4655027501.7399998</v>
      </c>
      <c r="I36" s="6">
        <v>4467949080.3395996</v>
      </c>
      <c r="J36" s="6">
        <v>4556108005.2595997</v>
      </c>
      <c r="K36" s="6">
        <v>4498978032.1445999</v>
      </c>
      <c r="L36" s="6">
        <v>4722989263.8746004</v>
      </c>
      <c r="M36" s="6">
        <v>4799895757.2797995</v>
      </c>
      <c r="N36" s="6">
        <v>5328173493.9982996</v>
      </c>
      <c r="O36" s="6">
        <v>4852231089.0333996</v>
      </c>
      <c r="P36" s="6">
        <v>5380278940.3424997</v>
      </c>
      <c r="Q36" s="6">
        <v>4615454956.2914009</v>
      </c>
      <c r="R36" s="6">
        <v>5162181714.6040001</v>
      </c>
      <c r="S36" s="6">
        <v>4704717013.6305008</v>
      </c>
      <c r="T36" s="6">
        <v>5251899032.6235008</v>
      </c>
      <c r="U36" s="6">
        <v>4170788882.4675999</v>
      </c>
      <c r="V36" s="6">
        <v>5059754398.2776003</v>
      </c>
      <c r="W36" s="6">
        <v>4156229302.7711</v>
      </c>
      <c r="X36" s="6">
        <v>5045194818.5711002</v>
      </c>
      <c r="Y36" s="10">
        <v>4337642604.5600004</v>
      </c>
      <c r="Z36" s="10">
        <v>5225831320.7799997</v>
      </c>
      <c r="AA36" s="10">
        <f t="shared" si="0"/>
        <v>53141917602.898697</v>
      </c>
      <c r="AB36" s="11">
        <v>8460647979.7399998</v>
      </c>
      <c r="AC36" s="10">
        <f t="shared" si="1"/>
        <v>133187763.41578621</v>
      </c>
      <c r="AD36" s="11">
        <f t="shared" si="2"/>
        <v>133187763.41578621</v>
      </c>
    </row>
    <row r="37" spans="1:30" ht="18" customHeight="1" x14ac:dyDescent="0.35">
      <c r="A37" s="4">
        <v>36</v>
      </c>
      <c r="B37" s="5" t="s">
        <v>61</v>
      </c>
      <c r="C37" s="6">
        <v>3494033998.7104998</v>
      </c>
      <c r="D37" s="6">
        <v>4263920904.990499</v>
      </c>
      <c r="E37" s="6">
        <v>3213843740.8049989</v>
      </c>
      <c r="F37" s="6">
        <v>3983730647.085</v>
      </c>
      <c r="G37" s="6">
        <v>3699064042.6199999</v>
      </c>
      <c r="H37" s="6">
        <v>4468950948.8999996</v>
      </c>
      <c r="I37" s="6">
        <v>3888049605.3824</v>
      </c>
      <c r="J37" s="6">
        <v>4657936511.6624002</v>
      </c>
      <c r="K37" s="6">
        <v>3918508252.2242999</v>
      </c>
      <c r="L37" s="6">
        <v>4688395158.5043001</v>
      </c>
      <c r="M37" s="6">
        <v>4173028398.7933998</v>
      </c>
      <c r="N37" s="6">
        <v>5278595968.1525002</v>
      </c>
      <c r="O37" s="6">
        <v>4278199232.0184989</v>
      </c>
      <c r="P37" s="6">
        <v>5497425835.3792</v>
      </c>
      <c r="Q37" s="6">
        <v>4078177878.2953</v>
      </c>
      <c r="R37" s="6">
        <v>5318084791.0391998</v>
      </c>
      <c r="S37" s="6">
        <v>4123996260.0323</v>
      </c>
      <c r="T37" s="6">
        <v>5364337177.7353001</v>
      </c>
      <c r="U37" s="6">
        <v>3871591475.9622998</v>
      </c>
      <c r="V37" s="6">
        <v>5101496552.9223003</v>
      </c>
      <c r="W37" s="6">
        <v>3807684255.5472999</v>
      </c>
      <c r="X37" s="6">
        <v>5037589332.4973001</v>
      </c>
      <c r="Y37" s="10">
        <v>4116962069.1900001</v>
      </c>
      <c r="Z37" s="10">
        <v>5352107306.6499996</v>
      </c>
      <c r="AA37" s="10">
        <f t="shared" si="0"/>
        <v>46663139209.581306</v>
      </c>
      <c r="AB37" s="11">
        <v>18980641201.869999</v>
      </c>
      <c r="AC37" s="10">
        <f t="shared" si="1"/>
        <v>116950223.58291054</v>
      </c>
      <c r="AD37" s="11">
        <f t="shared" si="2"/>
        <v>116950223.58291054</v>
      </c>
    </row>
    <row r="38" spans="1:30" ht="18" customHeight="1" x14ac:dyDescent="0.35">
      <c r="A38" s="7">
        <v>37</v>
      </c>
      <c r="B38" s="8" t="s">
        <v>62</v>
      </c>
      <c r="C38" s="9">
        <v>1463367195.78</v>
      </c>
      <c r="D38" s="9"/>
      <c r="E38" s="9">
        <v>4891043535.4195995</v>
      </c>
      <c r="F38" s="9"/>
      <c r="G38" s="9">
        <v>5485874196.6739006</v>
      </c>
      <c r="H38" s="9"/>
      <c r="I38" s="9">
        <v>5757480805.3523006</v>
      </c>
      <c r="J38" s="9"/>
      <c r="K38" s="9">
        <v>784325020.75650001</v>
      </c>
      <c r="L38" s="9"/>
      <c r="M38" s="9">
        <v>6766323804.0892</v>
      </c>
      <c r="N38" s="9"/>
      <c r="O38" s="9">
        <v>7053083189.5063</v>
      </c>
      <c r="P38" s="9"/>
      <c r="Q38" s="9">
        <v>6567624707.8602009</v>
      </c>
      <c r="R38" s="9"/>
      <c r="S38" s="9">
        <v>6745428183.8589001</v>
      </c>
      <c r="T38" s="9"/>
      <c r="U38" s="9">
        <v>6391971297.3899994</v>
      </c>
      <c r="V38" s="9"/>
      <c r="W38" s="9">
        <v>6157289779.7200003</v>
      </c>
      <c r="X38" s="9"/>
      <c r="Y38" s="10">
        <v>6533146786.3299999</v>
      </c>
      <c r="AA38" s="10">
        <f t="shared" si="0"/>
        <v>64596958502.7369</v>
      </c>
      <c r="AB38" s="11">
        <v>131924627002.62</v>
      </c>
      <c r="AC38" s="10">
        <f t="shared" si="1"/>
        <v>161897139.10460377</v>
      </c>
      <c r="AD38" s="11">
        <f t="shared" si="2"/>
        <v>161897139.10460377</v>
      </c>
    </row>
    <row r="39" spans="1:30" x14ac:dyDescent="0.3">
      <c r="AA39" s="10">
        <f>SUM(AA2:AA38)</f>
        <v>2517703969009.021</v>
      </c>
      <c r="AC39" s="10">
        <f t="shared" si="1"/>
        <v>6310035010.0476713</v>
      </c>
      <c r="AD39" s="11">
        <f t="shared" si="2"/>
        <v>6310035010.0476713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8713-F30F-4E2A-A603-CBB41D121E4D}">
  <dimension ref="A1:AD39"/>
  <sheetViews>
    <sheetView topLeftCell="T31" workbookViewId="0">
      <selection activeCell="AA40" sqref="AA40"/>
    </sheetView>
  </sheetViews>
  <sheetFormatPr defaultRowHeight="14.4" x14ac:dyDescent="0.3"/>
  <cols>
    <col min="3" max="26" width="17.21875" bestFit="1" customWidth="1"/>
    <col min="27" max="27" width="20.21875" customWidth="1"/>
    <col min="28" max="28" width="18.21875" bestFit="1" customWidth="1"/>
    <col min="29" max="29" width="14.6640625" bestFit="1" customWidth="1"/>
    <col min="30" max="30" width="15.77734375" customWidth="1"/>
  </cols>
  <sheetData>
    <row r="1" spans="1:30" x14ac:dyDescent="0.3">
      <c r="A1" t="s">
        <v>68</v>
      </c>
      <c r="B1" t="s">
        <v>1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66</v>
      </c>
      <c r="AB1" t="s">
        <v>67</v>
      </c>
      <c r="AC1" t="s">
        <v>185</v>
      </c>
      <c r="AD1" t="s">
        <v>186</v>
      </c>
    </row>
    <row r="2" spans="1:30" x14ac:dyDescent="0.3">
      <c r="A2">
        <v>1</v>
      </c>
      <c r="B2" t="s">
        <v>93</v>
      </c>
      <c r="C2" s="11">
        <v>4802029296.5100002</v>
      </c>
      <c r="D2" s="11">
        <v>3991512875.9000001</v>
      </c>
      <c r="E2" s="11">
        <v>4902097066.0200005</v>
      </c>
      <c r="F2" s="11">
        <v>4111311500.2600002</v>
      </c>
      <c r="G2" s="11">
        <v>6068069737.0200005</v>
      </c>
      <c r="H2" s="11">
        <v>5128935332.9200001</v>
      </c>
      <c r="I2" s="11">
        <v>5413780488.3999996</v>
      </c>
      <c r="J2" s="11">
        <v>4522913025.3699999</v>
      </c>
      <c r="K2" s="11">
        <v>6038353390.5</v>
      </c>
      <c r="L2" s="11">
        <v>5042635193.46</v>
      </c>
      <c r="M2" s="11">
        <v>6535255521.96</v>
      </c>
      <c r="N2" s="11">
        <v>5479989188.54</v>
      </c>
      <c r="O2" s="11">
        <v>7138344180.8400002</v>
      </c>
      <c r="P2" s="11">
        <v>6092234478.1300001</v>
      </c>
      <c r="Q2" s="11">
        <v>5327658619.8500004</v>
      </c>
      <c r="R2" s="11">
        <v>4457213505.4499998</v>
      </c>
      <c r="S2" s="11">
        <v>5856201285.75</v>
      </c>
      <c r="T2" s="11">
        <v>4979705299.5600004</v>
      </c>
      <c r="U2" s="11">
        <v>5822899693.4899998</v>
      </c>
      <c r="V2" s="11">
        <v>4946696961.0900002</v>
      </c>
      <c r="W2" s="11">
        <v>6817546035.4700003</v>
      </c>
      <c r="X2" s="11">
        <v>5930602366.21</v>
      </c>
      <c r="Y2" s="11">
        <v>7402240871.4399996</v>
      </c>
      <c r="Z2" s="11">
        <v>6327384875.9300003</v>
      </c>
      <c r="AA2" s="13">
        <f>SUM(D2,F2,H2,J2,L2,N2,P2,R2,T2,V2,X2,Z2)</f>
        <v>61011134602.819992</v>
      </c>
      <c r="AB2" s="11">
        <v>20108232055.980003</v>
      </c>
      <c r="AC2" s="13">
        <f>AA2/423</f>
        <v>144234360.76316783</v>
      </c>
      <c r="AD2" s="13">
        <f>AB2/423</f>
        <v>47537191.621702135</v>
      </c>
    </row>
    <row r="3" spans="1:30" x14ac:dyDescent="0.3">
      <c r="A3">
        <v>2</v>
      </c>
      <c r="B3" t="s">
        <v>94</v>
      </c>
      <c r="C3" s="11">
        <v>4322834727.0299997</v>
      </c>
      <c r="D3" s="11">
        <v>3686588252.9499998</v>
      </c>
      <c r="E3" s="11">
        <v>4666396951</v>
      </c>
      <c r="F3" s="11">
        <v>4050736828.1999998</v>
      </c>
      <c r="G3" s="11">
        <v>5466889869.3800001</v>
      </c>
      <c r="H3" s="11">
        <v>4751741007.3800001</v>
      </c>
      <c r="I3" s="11">
        <v>5005159509.1000004</v>
      </c>
      <c r="J3" s="11">
        <v>4389499386.3000002</v>
      </c>
      <c r="K3" s="11">
        <v>5720176278.3900003</v>
      </c>
      <c r="L3" s="11">
        <v>5038024007.1999998</v>
      </c>
      <c r="M3" s="11">
        <v>6108917603.0600004</v>
      </c>
      <c r="N3" s="11">
        <v>5285894105.9899998</v>
      </c>
      <c r="O3" s="11">
        <v>6937057222</v>
      </c>
      <c r="P3" s="11">
        <v>6082708170.7799997</v>
      </c>
      <c r="Q3" s="11">
        <v>5357818722.21</v>
      </c>
      <c r="R3" s="11">
        <v>4639915819.9200001</v>
      </c>
      <c r="S3" s="11">
        <v>5718970033.3100004</v>
      </c>
      <c r="T3" s="11">
        <v>5001067131.0200005</v>
      </c>
      <c r="U3" s="11">
        <v>5794066684.6599998</v>
      </c>
      <c r="V3" s="11">
        <v>5076163782.3699999</v>
      </c>
      <c r="W3" s="11">
        <v>6743340330.6499996</v>
      </c>
      <c r="X3" s="11">
        <v>6025437428.3599997</v>
      </c>
      <c r="Y3" s="11">
        <v>7351157377.5500002</v>
      </c>
      <c r="Z3" s="11">
        <v>6163172589.7600002</v>
      </c>
      <c r="AA3" s="13">
        <f t="shared" ref="AA3:AA38" si="0">SUM(D3,F3,H3,J3,L3,N3,P3,R3,T3,V3,X3,Z3)</f>
        <v>60190948510.229996</v>
      </c>
      <c r="AB3" s="11">
        <v>13175774969.529999</v>
      </c>
      <c r="AC3" s="13">
        <f t="shared" ref="AC3:AC39" si="1">AA3/423</f>
        <v>142295386.54900709</v>
      </c>
      <c r="AD3" s="13">
        <f t="shared" ref="AD3:AD38" si="2">AB3/423</f>
        <v>31148404.183286048</v>
      </c>
    </row>
    <row r="4" spans="1:30" x14ac:dyDescent="0.3">
      <c r="A4">
        <v>3</v>
      </c>
      <c r="B4" t="s">
        <v>95</v>
      </c>
      <c r="C4" s="11">
        <v>18470108113.389999</v>
      </c>
      <c r="D4" s="11">
        <v>17116693674.709999</v>
      </c>
      <c r="E4" s="11">
        <v>15903630691.809999</v>
      </c>
      <c r="F4" s="11">
        <v>14571770017.43</v>
      </c>
      <c r="G4" s="11">
        <v>22390680178.689999</v>
      </c>
      <c r="H4" s="11">
        <v>20951826607.220001</v>
      </c>
      <c r="I4" s="11">
        <v>21546281708.84</v>
      </c>
      <c r="J4" s="11">
        <v>20209921717.970001</v>
      </c>
      <c r="K4" s="11">
        <v>20936651189.169998</v>
      </c>
      <c r="L4" s="11">
        <v>19541455819.970001</v>
      </c>
      <c r="M4" s="11">
        <v>28765289436.619999</v>
      </c>
      <c r="N4" s="11">
        <v>27192866140.68</v>
      </c>
      <c r="O4" s="11">
        <v>27619501123.59</v>
      </c>
      <c r="P4" s="11">
        <v>26186964527.060001</v>
      </c>
      <c r="Q4" s="11">
        <v>23229170146.349998</v>
      </c>
      <c r="R4" s="11">
        <v>21958419667.34</v>
      </c>
      <c r="S4" s="11">
        <v>35482944029</v>
      </c>
      <c r="T4" s="11">
        <v>34209049572.43</v>
      </c>
      <c r="U4" s="11">
        <v>23484365890.880001</v>
      </c>
      <c r="V4" s="11">
        <v>22198431471.439999</v>
      </c>
      <c r="W4" s="11">
        <v>42522769545.57</v>
      </c>
      <c r="X4" s="11">
        <v>41237657264.330002</v>
      </c>
      <c r="Y4" s="11">
        <v>50303220508.279999</v>
      </c>
      <c r="Z4" s="11">
        <v>48805317522.190002</v>
      </c>
      <c r="AA4" s="13">
        <f t="shared" si="0"/>
        <v>314180374002.77002</v>
      </c>
      <c r="AB4" s="11">
        <v>34812381023.949997</v>
      </c>
      <c r="AC4" s="13">
        <f t="shared" si="1"/>
        <v>742743200.95217502</v>
      </c>
      <c r="AD4" s="13">
        <f t="shared" si="2"/>
        <v>82298773.10626477</v>
      </c>
    </row>
    <row r="5" spans="1:30" x14ac:dyDescent="0.3">
      <c r="A5">
        <v>4</v>
      </c>
      <c r="B5" t="s">
        <v>96</v>
      </c>
      <c r="C5" s="11">
        <v>4528491972.7200003</v>
      </c>
      <c r="D5" s="11">
        <v>4088251513.0700002</v>
      </c>
      <c r="E5" s="11">
        <v>4901288976.9399996</v>
      </c>
      <c r="F5" s="11">
        <v>4490774747.75</v>
      </c>
      <c r="G5" s="11">
        <v>5719569288.5299997</v>
      </c>
      <c r="H5" s="11">
        <v>5209732081.3400002</v>
      </c>
      <c r="I5" s="11">
        <v>5077234212.9200001</v>
      </c>
      <c r="J5" s="11">
        <v>4666719983.7299995</v>
      </c>
      <c r="K5" s="11">
        <v>6008134811.8299999</v>
      </c>
      <c r="L5" s="11">
        <v>5531252999.46</v>
      </c>
      <c r="M5" s="11">
        <v>6840169819.3900003</v>
      </c>
      <c r="N5" s="11">
        <v>6395543482.1700001</v>
      </c>
      <c r="O5" s="11">
        <v>7692919673.3199997</v>
      </c>
      <c r="P5" s="11">
        <v>7146214911</v>
      </c>
      <c r="Q5" s="11">
        <v>6063741642.7200003</v>
      </c>
      <c r="R5" s="11">
        <v>5724038969.2200003</v>
      </c>
      <c r="S5" s="11">
        <v>7045158921.6499996</v>
      </c>
      <c r="T5" s="11">
        <v>6705456248.2700005</v>
      </c>
      <c r="U5" s="11">
        <v>6782819965.3500004</v>
      </c>
      <c r="V5" s="11">
        <v>6443117291.9700003</v>
      </c>
      <c r="W5" s="11">
        <v>8690263657.5699997</v>
      </c>
      <c r="X5" s="11">
        <v>8350560984.1899996</v>
      </c>
      <c r="Y5" s="11">
        <v>9271404792.9500008</v>
      </c>
      <c r="Z5" s="11">
        <v>8753082547.3400002</v>
      </c>
      <c r="AA5" s="13">
        <f t="shared" si="0"/>
        <v>73504745759.509995</v>
      </c>
      <c r="AB5" s="11">
        <v>33971393160.729996</v>
      </c>
      <c r="AC5" s="13">
        <f t="shared" si="1"/>
        <v>173770084.53784868</v>
      </c>
      <c r="AD5" s="13">
        <f t="shared" si="2"/>
        <v>80310622.129385337</v>
      </c>
    </row>
    <row r="6" spans="1:30" x14ac:dyDescent="0.3">
      <c r="A6">
        <v>5</v>
      </c>
      <c r="B6" t="s">
        <v>97</v>
      </c>
      <c r="C6" s="11">
        <v>5514947980.7299995</v>
      </c>
      <c r="D6" s="11">
        <v>4253773656.4699998</v>
      </c>
      <c r="E6" s="11">
        <v>5488251659.5600004</v>
      </c>
      <c r="F6" s="11">
        <v>4317118978.3699999</v>
      </c>
      <c r="G6" s="11">
        <v>6541995840.5100002</v>
      </c>
      <c r="H6" s="11">
        <v>5253608962.4099998</v>
      </c>
      <c r="I6" s="11">
        <v>5869623632.2700005</v>
      </c>
      <c r="J6" s="11">
        <v>4698490951.0799999</v>
      </c>
      <c r="K6" s="11">
        <v>6567723490.1000004</v>
      </c>
      <c r="L6" s="11">
        <v>5316748382.7700005</v>
      </c>
      <c r="M6" s="11">
        <v>7073445952.6499996</v>
      </c>
      <c r="N6" s="11">
        <v>5776086588.6499996</v>
      </c>
      <c r="O6" s="11">
        <v>8254731615.2700005</v>
      </c>
      <c r="P6" s="11">
        <v>6919757159.8100004</v>
      </c>
      <c r="Q6" s="11">
        <v>6242845123.6499996</v>
      </c>
      <c r="R6" s="11">
        <v>4944212442.46</v>
      </c>
      <c r="S6" s="11">
        <v>6744419350.7399998</v>
      </c>
      <c r="T6" s="11">
        <v>5445786669.5500002</v>
      </c>
      <c r="U6" s="11">
        <v>6784199015.1000004</v>
      </c>
      <c r="V6" s="11">
        <v>5384473093.3400002</v>
      </c>
      <c r="W6" s="11">
        <v>7880469677.8199997</v>
      </c>
      <c r="X6" s="11">
        <v>6480743756.2600002</v>
      </c>
      <c r="Y6" s="11">
        <v>8529604794.0500002</v>
      </c>
      <c r="Z6" s="11">
        <v>6382324776.3400002</v>
      </c>
      <c r="AA6" s="13">
        <f t="shared" si="0"/>
        <v>65173125417.51001</v>
      </c>
      <c r="AB6" s="11">
        <v>25471119111.310001</v>
      </c>
      <c r="AC6" s="13">
        <f t="shared" si="1"/>
        <v>154073582.54730499</v>
      </c>
      <c r="AD6" s="13">
        <f t="shared" si="2"/>
        <v>60215411.610661939</v>
      </c>
    </row>
    <row r="7" spans="1:30" x14ac:dyDescent="0.3">
      <c r="A7">
        <v>6</v>
      </c>
      <c r="B7" t="s">
        <v>98</v>
      </c>
      <c r="C7" s="11">
        <v>14836435772.84</v>
      </c>
      <c r="D7" s="11">
        <v>13054185043.950001</v>
      </c>
      <c r="E7" s="11">
        <v>14091351258.719999</v>
      </c>
      <c r="F7" s="11">
        <v>12449059827.32</v>
      </c>
      <c r="G7" s="11">
        <v>22206917138.830002</v>
      </c>
      <c r="H7" s="11">
        <v>20529427293.709999</v>
      </c>
      <c r="I7" s="11">
        <v>22860553974.560001</v>
      </c>
      <c r="J7" s="11">
        <v>21274866123.049999</v>
      </c>
      <c r="K7" s="11">
        <v>19194943534.860001</v>
      </c>
      <c r="L7" s="11">
        <v>17557758790.509998</v>
      </c>
      <c r="M7" s="11">
        <v>23638881771.650002</v>
      </c>
      <c r="N7" s="11">
        <v>21847239433.860001</v>
      </c>
      <c r="O7" s="11">
        <v>25730255670.59</v>
      </c>
      <c r="P7" s="11">
        <v>24031664267.610001</v>
      </c>
      <c r="Q7" s="11">
        <v>21616899310.529999</v>
      </c>
      <c r="R7" s="11">
        <v>20061092587.84</v>
      </c>
      <c r="S7" s="11">
        <v>29162380657.290001</v>
      </c>
      <c r="T7" s="11">
        <v>27603403446.59</v>
      </c>
      <c r="U7" s="11">
        <v>18354710400.41</v>
      </c>
      <c r="V7" s="11">
        <v>16769764908.959999</v>
      </c>
      <c r="W7" s="11">
        <v>25995668351.380001</v>
      </c>
      <c r="X7" s="11">
        <v>24426818810.860001</v>
      </c>
      <c r="Y7" s="11">
        <v>34984553748.07</v>
      </c>
      <c r="Z7" s="11">
        <v>33298566049.990002</v>
      </c>
      <c r="AA7" s="13">
        <f t="shared" si="0"/>
        <v>252903846584.25</v>
      </c>
      <c r="AB7" s="11">
        <v>15902659947.629997</v>
      </c>
      <c r="AC7" s="13">
        <f t="shared" si="1"/>
        <v>597881434.00531912</v>
      </c>
      <c r="AD7" s="13">
        <f t="shared" si="2"/>
        <v>37594940.774539001</v>
      </c>
    </row>
    <row r="8" spans="1:30" x14ac:dyDescent="0.3">
      <c r="A8">
        <v>7</v>
      </c>
      <c r="B8" t="s">
        <v>99</v>
      </c>
      <c r="C8" s="11">
        <v>4769071957.4799995</v>
      </c>
      <c r="D8" s="11">
        <v>3627643601.2600002</v>
      </c>
      <c r="E8" s="11">
        <v>5128462808.5699997</v>
      </c>
      <c r="F8" s="11">
        <v>3998547676.7199998</v>
      </c>
      <c r="G8" s="11">
        <v>6104604140.7600002</v>
      </c>
      <c r="H8" s="11">
        <v>4856972094.46</v>
      </c>
      <c r="I8" s="11">
        <v>5433040427.5900002</v>
      </c>
      <c r="J8" s="11">
        <v>4298820449.46</v>
      </c>
      <c r="K8" s="11">
        <v>6275887446.79</v>
      </c>
      <c r="L8" s="11">
        <v>5076396902.79</v>
      </c>
      <c r="M8" s="11">
        <v>6661741136.6599998</v>
      </c>
      <c r="N8" s="11">
        <v>5397018234.0200005</v>
      </c>
      <c r="O8" s="11">
        <v>7773350046.5</v>
      </c>
      <c r="P8" s="11">
        <v>6455727274.1099997</v>
      </c>
      <c r="Q8" s="11">
        <v>5947605258.8400002</v>
      </c>
      <c r="R8" s="11">
        <v>4814452646.8299999</v>
      </c>
      <c r="S8" s="11">
        <v>6327268067.6199999</v>
      </c>
      <c r="T8" s="11">
        <v>5186601548.1400003</v>
      </c>
      <c r="U8" s="11">
        <v>6455091818.3400002</v>
      </c>
      <c r="V8" s="11">
        <v>5314944047.1400003</v>
      </c>
      <c r="W8" s="11">
        <v>7512034453.54</v>
      </c>
      <c r="X8" s="11">
        <v>6358855090.8900003</v>
      </c>
      <c r="Y8" s="11">
        <v>8118998243.8400002</v>
      </c>
      <c r="Z8" s="11">
        <v>7364854656.0500002</v>
      </c>
      <c r="AA8" s="13">
        <f t="shared" si="0"/>
        <v>62750834221.870003</v>
      </c>
      <c r="AB8" s="11">
        <v>15952846966.359999</v>
      </c>
      <c r="AC8" s="13">
        <f t="shared" si="1"/>
        <v>148347125.82002366</v>
      </c>
      <c r="AD8" s="13">
        <f t="shared" si="2"/>
        <v>37713586.208888888</v>
      </c>
    </row>
    <row r="9" spans="1:30" x14ac:dyDescent="0.3">
      <c r="A9">
        <v>8</v>
      </c>
      <c r="B9" t="s">
        <v>100</v>
      </c>
      <c r="C9" s="11">
        <v>5088443560.54</v>
      </c>
      <c r="D9" s="11">
        <v>4463501849.1000004</v>
      </c>
      <c r="E9" s="11">
        <v>5461219968.3100004</v>
      </c>
      <c r="F9" s="11">
        <v>4851717793.8100004</v>
      </c>
      <c r="G9" s="11">
        <v>6565958704.8999996</v>
      </c>
      <c r="H9" s="11">
        <v>5835091898.4300003</v>
      </c>
      <c r="I9" s="11">
        <v>5833927925.2700005</v>
      </c>
      <c r="J9" s="11">
        <v>5224425750.7700005</v>
      </c>
      <c r="K9" s="11">
        <v>6578284752.9700003</v>
      </c>
      <c r="L9" s="11">
        <v>5885851267.6800003</v>
      </c>
      <c r="M9" s="11">
        <v>7215458086.3699999</v>
      </c>
      <c r="N9" s="11">
        <v>6474845864.6400003</v>
      </c>
      <c r="O9" s="11">
        <v>8418675970.6999998</v>
      </c>
      <c r="P9" s="11">
        <v>7638993432.6999998</v>
      </c>
      <c r="Q9" s="11">
        <v>6351567033.29</v>
      </c>
      <c r="R9" s="11">
        <v>5742064858.79</v>
      </c>
      <c r="S9" s="11">
        <v>6751358927.75</v>
      </c>
      <c r="T9" s="11">
        <v>6141856753.25</v>
      </c>
      <c r="U9" s="11">
        <v>6879679618.4200001</v>
      </c>
      <c r="V9" s="11">
        <v>6270177443.9200001</v>
      </c>
      <c r="W9" s="11">
        <v>8346715314.6300001</v>
      </c>
      <c r="X9" s="11">
        <v>7737213140.1300001</v>
      </c>
      <c r="Y9" s="11">
        <v>8750394489.5</v>
      </c>
      <c r="Z9" s="11">
        <v>8102003957.4200001</v>
      </c>
      <c r="AA9" s="13">
        <f t="shared" si="0"/>
        <v>74367744010.639999</v>
      </c>
      <c r="AB9" s="11">
        <v>19061946487.099998</v>
      </c>
      <c r="AC9" s="13">
        <f t="shared" si="1"/>
        <v>175810269.52869976</v>
      </c>
      <c r="AD9" s="13">
        <f t="shared" si="2"/>
        <v>45063703.27919621</v>
      </c>
    </row>
    <row r="10" spans="1:30" x14ac:dyDescent="0.3">
      <c r="A10">
        <v>9</v>
      </c>
      <c r="B10" t="s">
        <v>101</v>
      </c>
      <c r="C10" s="11">
        <v>4214633523.1100001</v>
      </c>
      <c r="D10" s="11">
        <v>2404848733.6399999</v>
      </c>
      <c r="E10" s="11">
        <v>4556783921.7299995</v>
      </c>
      <c r="F10" s="11">
        <v>2390703660.8099999</v>
      </c>
      <c r="G10" s="11">
        <v>5388477724.5900002</v>
      </c>
      <c r="H10" s="11">
        <v>3115708251.4899998</v>
      </c>
      <c r="I10" s="11">
        <v>4839296036.8800001</v>
      </c>
      <c r="J10" s="11">
        <v>3302490753.21</v>
      </c>
      <c r="K10" s="11">
        <v>5552987614.4799995</v>
      </c>
      <c r="L10" s="11">
        <v>3957656973.1900001</v>
      </c>
      <c r="M10" s="11">
        <v>5911151241.4300003</v>
      </c>
      <c r="N10" s="11">
        <v>4257329500.4299998</v>
      </c>
      <c r="O10" s="11">
        <v>6918978431.5200005</v>
      </c>
      <c r="P10" s="11">
        <v>5217723612.5</v>
      </c>
      <c r="Q10" s="11">
        <v>5315292526.4300003</v>
      </c>
      <c r="R10" s="11">
        <v>3779444305.75</v>
      </c>
      <c r="S10" s="11">
        <v>5593839229.3199997</v>
      </c>
      <c r="T10" s="11">
        <v>4083240446.7399998</v>
      </c>
      <c r="U10" s="11">
        <v>5723350568.5799999</v>
      </c>
      <c r="V10" s="11">
        <v>4213216925.6599998</v>
      </c>
      <c r="W10" s="11">
        <v>6588699551.9700003</v>
      </c>
      <c r="X10" s="11">
        <v>4681295586.9700003</v>
      </c>
      <c r="Y10" s="11">
        <v>7181727716.7700005</v>
      </c>
      <c r="Z10" s="11">
        <v>5793434671.6000004</v>
      </c>
      <c r="AA10" s="13">
        <f t="shared" si="0"/>
        <v>47197093421.989998</v>
      </c>
      <c r="AB10" s="11">
        <v>21098947831.940002</v>
      </c>
      <c r="AC10" s="13">
        <f t="shared" si="1"/>
        <v>111577053.00706856</v>
      </c>
      <c r="AD10" s="13">
        <f t="shared" si="2"/>
        <v>49879309.295366436</v>
      </c>
    </row>
    <row r="11" spans="1:30" x14ac:dyDescent="0.3">
      <c r="A11">
        <v>10</v>
      </c>
      <c r="B11" t="s">
        <v>102</v>
      </c>
      <c r="C11" s="11">
        <v>23728093648.299999</v>
      </c>
      <c r="D11" s="11">
        <v>22046174422.349998</v>
      </c>
      <c r="E11" s="11">
        <v>20985361922.189999</v>
      </c>
      <c r="F11" s="11">
        <v>19324859942.689999</v>
      </c>
      <c r="G11" s="11">
        <v>30274939402.400002</v>
      </c>
      <c r="H11" s="11">
        <v>28506818081.299999</v>
      </c>
      <c r="I11" s="11">
        <v>29393467710.459999</v>
      </c>
      <c r="J11" s="11">
        <v>27729068233.610001</v>
      </c>
      <c r="K11" s="11">
        <v>27111338632.549999</v>
      </c>
      <c r="L11" s="11">
        <v>25387844874.849998</v>
      </c>
      <c r="M11" s="11">
        <v>36543282934.199997</v>
      </c>
      <c r="N11" s="11">
        <v>34439397336.220001</v>
      </c>
      <c r="O11" s="11">
        <v>37703400077.949997</v>
      </c>
      <c r="P11" s="11">
        <v>35706285790.18</v>
      </c>
      <c r="Q11" s="11">
        <v>32873360083.459999</v>
      </c>
      <c r="R11" s="11">
        <v>31038182154.389999</v>
      </c>
      <c r="S11" s="11">
        <v>48356846622.970001</v>
      </c>
      <c r="T11" s="11">
        <v>46603277282.080002</v>
      </c>
      <c r="U11" s="11">
        <v>27524702252.459999</v>
      </c>
      <c r="V11" s="11">
        <v>25746139962.73</v>
      </c>
      <c r="W11" s="11">
        <v>39012524814.989998</v>
      </c>
      <c r="X11" s="11">
        <v>37247626669.610001</v>
      </c>
      <c r="Y11" s="11">
        <v>47947973516.959999</v>
      </c>
      <c r="Z11" s="11">
        <v>46136198915.989998</v>
      </c>
      <c r="AA11" s="13">
        <f t="shared" si="0"/>
        <v>379911873665.99994</v>
      </c>
      <c r="AB11" s="11">
        <v>85901607747.299988</v>
      </c>
      <c r="AC11" s="13">
        <f t="shared" si="1"/>
        <v>898136817.17730486</v>
      </c>
      <c r="AD11" s="13">
        <f t="shared" si="2"/>
        <v>203077086.87304962</v>
      </c>
    </row>
    <row r="12" spans="1:30" x14ac:dyDescent="0.3">
      <c r="A12">
        <v>11</v>
      </c>
      <c r="B12" t="s">
        <v>103</v>
      </c>
      <c r="C12" s="11">
        <v>3946529889.48</v>
      </c>
      <c r="D12" s="11">
        <v>3422017848.8499999</v>
      </c>
      <c r="E12" s="11">
        <v>4176310076.3800001</v>
      </c>
      <c r="F12" s="11">
        <v>3672360501.2399998</v>
      </c>
      <c r="G12" s="11">
        <v>5017152775.75</v>
      </c>
      <c r="H12" s="11">
        <v>4413148981.0500002</v>
      </c>
      <c r="I12" s="11">
        <v>4457860798.6499996</v>
      </c>
      <c r="J12" s="11">
        <v>3947803328</v>
      </c>
      <c r="K12" s="11">
        <v>5136935490.9200001</v>
      </c>
      <c r="L12" s="11">
        <v>4571285320.8400002</v>
      </c>
      <c r="M12" s="11">
        <v>5442721576.0600004</v>
      </c>
      <c r="N12" s="11">
        <v>4744638990.1400003</v>
      </c>
      <c r="O12" s="11">
        <v>6312074988.46</v>
      </c>
      <c r="P12" s="11">
        <v>5575552709.6099997</v>
      </c>
      <c r="Q12" s="11">
        <v>4940505364.7399998</v>
      </c>
      <c r="R12" s="11">
        <v>4346191092.2600002</v>
      </c>
      <c r="S12" s="11">
        <v>5127266550.0200005</v>
      </c>
      <c r="T12" s="11">
        <v>4531159228.29</v>
      </c>
      <c r="U12" s="11">
        <v>5371053602.8599997</v>
      </c>
      <c r="V12" s="11">
        <v>4778233241.0900002</v>
      </c>
      <c r="W12" s="11">
        <v>6066498382</v>
      </c>
      <c r="X12" s="11">
        <v>5459869281.3800001</v>
      </c>
      <c r="Y12" s="11">
        <v>6549628514.4300003</v>
      </c>
      <c r="Z12" s="11">
        <v>5789709708.5699997</v>
      </c>
      <c r="AA12" s="13">
        <f t="shared" si="0"/>
        <v>55251970231.319992</v>
      </c>
      <c r="AB12" s="11">
        <v>12426178539.059999</v>
      </c>
      <c r="AC12" s="13">
        <f t="shared" si="1"/>
        <v>130619314.96765956</v>
      </c>
      <c r="AD12" s="13">
        <f t="shared" si="2"/>
        <v>29376308.602978721</v>
      </c>
    </row>
    <row r="13" spans="1:30" x14ac:dyDescent="0.3">
      <c r="A13">
        <v>12</v>
      </c>
      <c r="B13" t="s">
        <v>104</v>
      </c>
      <c r="C13" s="11">
        <v>6044771548.79</v>
      </c>
      <c r="D13" s="11">
        <v>4783433095.75</v>
      </c>
      <c r="E13" s="11">
        <v>6420347658.8199997</v>
      </c>
      <c r="F13" s="11">
        <v>5111627232.5799999</v>
      </c>
      <c r="G13" s="11">
        <v>8767935216.7099991</v>
      </c>
      <c r="H13" s="11">
        <v>7359237238.1800003</v>
      </c>
      <c r="I13" s="11">
        <v>8485712928.5600004</v>
      </c>
      <c r="J13" s="11">
        <v>7173403285.2200003</v>
      </c>
      <c r="K13" s="11">
        <v>8391704088</v>
      </c>
      <c r="L13" s="11">
        <v>7024974342.6700001</v>
      </c>
      <c r="M13" s="11">
        <v>9272174440.5100002</v>
      </c>
      <c r="N13" s="11">
        <v>7831651094.3800001</v>
      </c>
      <c r="O13" s="11">
        <v>11016966936.02</v>
      </c>
      <c r="P13" s="11">
        <v>9551743054.9099998</v>
      </c>
      <c r="Q13" s="11">
        <v>8951670207.4599991</v>
      </c>
      <c r="R13" s="11">
        <v>7639761632.0900002</v>
      </c>
      <c r="S13" s="11">
        <v>10791259411.02</v>
      </c>
      <c r="T13" s="11">
        <v>9473574888.7600002</v>
      </c>
      <c r="U13" s="11">
        <v>8589082419.4300003</v>
      </c>
      <c r="V13" s="11">
        <v>7265083007.8400002</v>
      </c>
      <c r="W13" s="11">
        <v>10245383259.35</v>
      </c>
      <c r="X13" s="11">
        <v>8917266006.75</v>
      </c>
      <c r="Y13" s="11">
        <v>12287633858.51</v>
      </c>
      <c r="Z13" s="11">
        <v>11014290646.209999</v>
      </c>
      <c r="AA13" s="13">
        <f t="shared" si="0"/>
        <v>93146045525.339996</v>
      </c>
      <c r="AB13" s="11">
        <v>47458128071.159996</v>
      </c>
      <c r="AC13" s="13">
        <f t="shared" si="1"/>
        <v>220203417.31758866</v>
      </c>
      <c r="AD13" s="13">
        <f t="shared" si="2"/>
        <v>112194156.19659573</v>
      </c>
    </row>
    <row r="14" spans="1:30" x14ac:dyDescent="0.3">
      <c r="A14">
        <v>13</v>
      </c>
      <c r="B14" t="s">
        <v>105</v>
      </c>
      <c r="C14" s="11">
        <v>3919661030.1900001</v>
      </c>
      <c r="D14" s="11">
        <v>2584679804.1900001</v>
      </c>
      <c r="E14" s="11">
        <v>4186241011.04</v>
      </c>
      <c r="F14" s="11">
        <v>2918135544.6799998</v>
      </c>
      <c r="G14" s="11">
        <v>4950220671.4099998</v>
      </c>
      <c r="H14" s="11">
        <v>3591687843.5300002</v>
      </c>
      <c r="I14" s="11">
        <v>4388171050.1599998</v>
      </c>
      <c r="J14" s="11">
        <v>3120065583.8000002</v>
      </c>
      <c r="K14" s="11">
        <v>5200647441.0200005</v>
      </c>
      <c r="L14" s="11">
        <v>3872859215.0700002</v>
      </c>
      <c r="M14" s="11">
        <v>5615887750.0299997</v>
      </c>
      <c r="N14" s="11">
        <v>4253426974.9899998</v>
      </c>
      <c r="O14" s="11">
        <v>6292392855.1199999</v>
      </c>
      <c r="P14" s="11">
        <v>4901814541.96</v>
      </c>
      <c r="Q14" s="11">
        <v>4834636999.5600004</v>
      </c>
      <c r="R14" s="11">
        <v>3566531533.1999998</v>
      </c>
      <c r="S14" s="11">
        <v>5117908648.9399996</v>
      </c>
      <c r="T14" s="11">
        <v>3849803182.5799999</v>
      </c>
      <c r="U14" s="11">
        <v>5215865924.71</v>
      </c>
      <c r="V14" s="11">
        <v>3947760458.3499999</v>
      </c>
      <c r="W14" s="11">
        <v>6004979245.4300003</v>
      </c>
      <c r="X14" s="11">
        <v>4736873779.0699997</v>
      </c>
      <c r="Y14" s="11">
        <v>6519254321.3900003</v>
      </c>
      <c r="Z14" s="11">
        <v>5174161586.1999998</v>
      </c>
      <c r="AA14" s="13">
        <f t="shared" si="0"/>
        <v>46517800047.619995</v>
      </c>
      <c r="AB14" s="11">
        <v>17029726605.18</v>
      </c>
      <c r="AC14" s="13">
        <f t="shared" si="1"/>
        <v>109971158.50501181</v>
      </c>
      <c r="AD14" s="13">
        <f t="shared" si="2"/>
        <v>40259400.957872339</v>
      </c>
    </row>
    <row r="15" spans="1:30" x14ac:dyDescent="0.3">
      <c r="A15">
        <v>14</v>
      </c>
      <c r="B15" t="s">
        <v>106</v>
      </c>
      <c r="C15" s="11">
        <v>4367030223.3999996</v>
      </c>
      <c r="D15" s="11">
        <v>3757172160.1199999</v>
      </c>
      <c r="E15" s="11">
        <v>4720371815.3000002</v>
      </c>
      <c r="F15" s="11">
        <v>4142615343.6100001</v>
      </c>
      <c r="G15" s="11">
        <v>5631902878.5100002</v>
      </c>
      <c r="H15" s="11">
        <v>5041271448.3500004</v>
      </c>
      <c r="I15" s="11">
        <v>5024451944.6199999</v>
      </c>
      <c r="J15" s="11">
        <v>4534154451.8599997</v>
      </c>
      <c r="K15" s="11">
        <v>5713836152.2700005</v>
      </c>
      <c r="L15" s="11">
        <v>5156411366.7299995</v>
      </c>
      <c r="M15" s="11">
        <v>6205925183.7299995</v>
      </c>
      <c r="N15" s="11">
        <v>5609502966.2700005</v>
      </c>
      <c r="O15" s="11">
        <v>7109479038.1199999</v>
      </c>
      <c r="P15" s="11">
        <v>6481432039.4499998</v>
      </c>
      <c r="Q15" s="11">
        <v>5491819457.1599998</v>
      </c>
      <c r="R15" s="11">
        <v>5001521964.3999996</v>
      </c>
      <c r="S15" s="11">
        <v>5845726102.6099997</v>
      </c>
      <c r="T15" s="11">
        <v>5355428609.8500004</v>
      </c>
      <c r="U15" s="11">
        <v>5897755285.1099997</v>
      </c>
      <c r="V15" s="11">
        <v>5407457792.3500004</v>
      </c>
      <c r="W15" s="11">
        <v>6760646469.0699997</v>
      </c>
      <c r="X15" s="11">
        <v>6270348976.3100004</v>
      </c>
      <c r="Y15" s="11">
        <v>7509315878.7600002</v>
      </c>
      <c r="Z15" s="11">
        <v>6716076299.5699997</v>
      </c>
      <c r="AA15" s="13">
        <f t="shared" si="0"/>
        <v>63473393418.869995</v>
      </c>
      <c r="AB15" s="11">
        <v>28691843017.5</v>
      </c>
      <c r="AC15" s="13">
        <f t="shared" si="1"/>
        <v>150055303.59070921</v>
      </c>
      <c r="AD15" s="13">
        <f t="shared" si="2"/>
        <v>67829416.117021278</v>
      </c>
    </row>
    <row r="16" spans="1:30" x14ac:dyDescent="0.3">
      <c r="A16">
        <v>15</v>
      </c>
      <c r="B16" t="s">
        <v>107</v>
      </c>
      <c r="C16" s="11">
        <v>4048793942.7199998</v>
      </c>
      <c r="D16" s="11">
        <v>3218549298.7600002</v>
      </c>
      <c r="E16" s="11">
        <v>4406038667.4099998</v>
      </c>
      <c r="F16" s="11">
        <v>3584948577.1700001</v>
      </c>
      <c r="G16" s="11">
        <v>5077358771.5799999</v>
      </c>
      <c r="H16" s="11">
        <v>4161597230.4099998</v>
      </c>
      <c r="I16" s="11">
        <v>4744037711.6000004</v>
      </c>
      <c r="J16" s="11">
        <v>3922947621.3600001</v>
      </c>
      <c r="K16" s="11">
        <v>5201933025.8400002</v>
      </c>
      <c r="L16" s="11">
        <v>4317970853.6000004</v>
      </c>
      <c r="M16" s="11">
        <v>5688298688.7600002</v>
      </c>
      <c r="N16" s="11">
        <v>3901844035.0799999</v>
      </c>
      <c r="O16" s="11">
        <v>6517840509.5100002</v>
      </c>
      <c r="P16" s="11">
        <v>4897959933.96</v>
      </c>
      <c r="Q16" s="11">
        <v>4995032985.1499996</v>
      </c>
      <c r="R16" s="11">
        <v>3504169950.3400002</v>
      </c>
      <c r="S16" s="11">
        <v>5245624860.6000004</v>
      </c>
      <c r="T16" s="11">
        <v>3754761825.79</v>
      </c>
      <c r="U16" s="11">
        <v>5501072490.25</v>
      </c>
      <c r="V16" s="11">
        <v>4010209455.4400001</v>
      </c>
      <c r="W16" s="11">
        <v>6228167015.5799999</v>
      </c>
      <c r="X16" s="11">
        <v>4737303980.7700005</v>
      </c>
      <c r="Y16" s="11">
        <v>6804846840.3299999</v>
      </c>
      <c r="Z16" s="11">
        <v>5189750126.3699999</v>
      </c>
      <c r="AA16" s="13">
        <f t="shared" si="0"/>
        <v>49202012889.050011</v>
      </c>
      <c r="AB16" s="11">
        <v>13597161181.51</v>
      </c>
      <c r="AC16" s="13">
        <f t="shared" si="1"/>
        <v>116316815.34054376</v>
      </c>
      <c r="AD16" s="13">
        <f t="shared" si="2"/>
        <v>32144589.081583925</v>
      </c>
    </row>
    <row r="17" spans="1:30" x14ac:dyDescent="0.3">
      <c r="A17">
        <v>16</v>
      </c>
      <c r="B17" t="s">
        <v>108</v>
      </c>
      <c r="C17" s="11">
        <v>5971861407.5100002</v>
      </c>
      <c r="D17" s="11">
        <v>4155715857.29</v>
      </c>
      <c r="E17" s="11">
        <v>6066160469.4499998</v>
      </c>
      <c r="F17" s="11">
        <v>4317758697.4399996</v>
      </c>
      <c r="G17" s="11">
        <v>7416033887.3400002</v>
      </c>
      <c r="H17" s="11">
        <v>5557695238.0900002</v>
      </c>
      <c r="I17" s="11">
        <v>7000002106.7700005</v>
      </c>
      <c r="J17" s="11">
        <v>5247009344.8400002</v>
      </c>
      <c r="K17" s="11">
        <v>7464268608.1000004</v>
      </c>
      <c r="L17" s="11">
        <v>5525820335.1400003</v>
      </c>
      <c r="M17" s="11">
        <v>8711801275.3799992</v>
      </c>
      <c r="N17" s="11">
        <v>6701908487.0200005</v>
      </c>
      <c r="O17" s="11">
        <v>9108778482.2000008</v>
      </c>
      <c r="P17" s="11">
        <v>7060810753.1300001</v>
      </c>
      <c r="Q17" s="11">
        <v>7038895605.8000002</v>
      </c>
      <c r="R17" s="11">
        <v>5204359674.21</v>
      </c>
      <c r="S17" s="11">
        <v>8184691414.7399998</v>
      </c>
      <c r="T17" s="11">
        <v>6343582171.3100004</v>
      </c>
      <c r="U17" s="11">
        <v>7215423897.96</v>
      </c>
      <c r="V17" s="11">
        <v>5374467197.5799999</v>
      </c>
      <c r="W17" s="11">
        <v>8659658133.8600006</v>
      </c>
      <c r="X17" s="11">
        <v>6806948332.3299999</v>
      </c>
      <c r="Y17" s="11">
        <v>9456274001.2800007</v>
      </c>
      <c r="Z17" s="11">
        <v>7479140578.9700003</v>
      </c>
      <c r="AA17" s="13">
        <f t="shared" si="0"/>
        <v>69775216667.349991</v>
      </c>
      <c r="AB17" s="11">
        <v>19337136489.82</v>
      </c>
      <c r="AC17" s="13">
        <f t="shared" si="1"/>
        <v>164953230.89208037</v>
      </c>
      <c r="AD17" s="13">
        <f t="shared" si="2"/>
        <v>45714270.661513001</v>
      </c>
    </row>
    <row r="18" spans="1:30" x14ac:dyDescent="0.3">
      <c r="A18">
        <v>17</v>
      </c>
      <c r="B18" t="s">
        <v>109</v>
      </c>
      <c r="C18" s="11">
        <v>4871177459.5500002</v>
      </c>
      <c r="D18" s="11">
        <v>4499832361.8000002</v>
      </c>
      <c r="E18" s="11">
        <v>5179918563.5799999</v>
      </c>
      <c r="F18" s="11">
        <v>4824475834.8900003</v>
      </c>
      <c r="G18" s="11">
        <v>6179556161.9799995</v>
      </c>
      <c r="H18" s="11">
        <v>5713774407.3599997</v>
      </c>
      <c r="I18" s="11">
        <v>5534568021.1400003</v>
      </c>
      <c r="J18" s="11">
        <v>5179125292.4499998</v>
      </c>
      <c r="K18" s="11">
        <v>6384774284.04</v>
      </c>
      <c r="L18" s="11">
        <v>5954685699.6999998</v>
      </c>
      <c r="M18" s="11">
        <v>6705699144.6400003</v>
      </c>
      <c r="N18" s="11">
        <v>6232245238.1800003</v>
      </c>
      <c r="O18" s="11">
        <v>7843829923.8000002</v>
      </c>
      <c r="P18" s="11">
        <v>7335209116.4399996</v>
      </c>
      <c r="Q18" s="11">
        <v>6000040632.7600002</v>
      </c>
      <c r="R18" s="11">
        <v>5644597904.0699997</v>
      </c>
      <c r="S18" s="11">
        <v>6360286590.8500004</v>
      </c>
      <c r="T18" s="11">
        <v>6004843862.1599998</v>
      </c>
      <c r="U18" s="11">
        <v>6556950391.8500004</v>
      </c>
      <c r="V18" s="11">
        <v>6201507663.1599998</v>
      </c>
      <c r="W18" s="11">
        <v>7541382665.04</v>
      </c>
      <c r="X18" s="11">
        <v>7185939936.3500004</v>
      </c>
      <c r="Y18" s="11">
        <v>8326609612.7799997</v>
      </c>
      <c r="Z18" s="11">
        <v>7917500207.8100004</v>
      </c>
      <c r="AA18" s="13">
        <f t="shared" si="0"/>
        <v>72693737524.37001</v>
      </c>
      <c r="AB18" s="11">
        <v>20549414387.490002</v>
      </c>
      <c r="AC18" s="13">
        <f t="shared" si="1"/>
        <v>171852807.3862175</v>
      </c>
      <c r="AD18" s="13">
        <f t="shared" si="2"/>
        <v>48580175.856950358</v>
      </c>
    </row>
    <row r="19" spans="1:30" x14ac:dyDescent="0.3">
      <c r="A19">
        <v>18</v>
      </c>
      <c r="B19" t="s">
        <v>110</v>
      </c>
      <c r="C19" s="11">
        <v>5810522335.8400002</v>
      </c>
      <c r="D19" s="11">
        <v>4765079427.6000004</v>
      </c>
      <c r="E19" s="11">
        <v>6044921046.1300001</v>
      </c>
      <c r="F19" s="11">
        <v>4537441896.1899996</v>
      </c>
      <c r="G19" s="11">
        <v>7201336635.5100002</v>
      </c>
      <c r="H19" s="11">
        <v>5566471365.4200001</v>
      </c>
      <c r="I19" s="11">
        <v>6635810168.2299995</v>
      </c>
      <c r="J19" s="11">
        <v>5128331018.29</v>
      </c>
      <c r="K19" s="11">
        <v>7428858411.7299995</v>
      </c>
      <c r="L19" s="11">
        <v>5833922959.8000002</v>
      </c>
      <c r="M19" s="11">
        <v>7879566268.0799999</v>
      </c>
      <c r="N19" s="11">
        <v>6233823297.46</v>
      </c>
      <c r="O19" s="11">
        <v>9175237518.4899998</v>
      </c>
      <c r="P19" s="11">
        <v>7488292433.1800003</v>
      </c>
      <c r="Q19" s="11">
        <v>7102527318.8100004</v>
      </c>
      <c r="R19" s="11">
        <v>5595048168.8699999</v>
      </c>
      <c r="S19" s="11">
        <v>7437786783.7600002</v>
      </c>
      <c r="T19" s="11">
        <v>5930307633.8199997</v>
      </c>
      <c r="U19" s="11">
        <v>7660104000.3599997</v>
      </c>
      <c r="V19" s="11">
        <v>6152624850.4200001</v>
      </c>
      <c r="W19" s="11">
        <v>8783424543.0499992</v>
      </c>
      <c r="X19" s="11">
        <v>7275945393.1099997</v>
      </c>
      <c r="Y19" s="11">
        <v>9784500977.4899998</v>
      </c>
      <c r="Z19" s="11">
        <v>6722820909.3999996</v>
      </c>
      <c r="AA19" s="13">
        <f t="shared" si="0"/>
        <v>71230109353.559998</v>
      </c>
      <c r="AB19" s="11">
        <v>58094591085.910004</v>
      </c>
      <c r="AC19" s="13">
        <f t="shared" si="1"/>
        <v>168392693.50723404</v>
      </c>
      <c r="AD19" s="13">
        <f t="shared" si="2"/>
        <v>137339458.83193853</v>
      </c>
    </row>
    <row r="20" spans="1:30" x14ac:dyDescent="0.3">
      <c r="A20">
        <v>19</v>
      </c>
      <c r="B20" t="s">
        <v>111</v>
      </c>
      <c r="C20" s="11">
        <v>7441898345.8999996</v>
      </c>
      <c r="D20" s="11">
        <v>6068196617.8400002</v>
      </c>
      <c r="E20" s="11">
        <v>7996196789.79</v>
      </c>
      <c r="F20" s="11">
        <v>6639299614.0799999</v>
      </c>
      <c r="G20" s="11">
        <v>9300359335.6700001</v>
      </c>
      <c r="H20" s="11">
        <v>7783523861.8699999</v>
      </c>
      <c r="I20" s="11">
        <v>8275619894.5799999</v>
      </c>
      <c r="J20" s="11">
        <v>6916318409.29</v>
      </c>
      <c r="K20" s="11">
        <v>9825260122.1000004</v>
      </c>
      <c r="L20" s="11">
        <v>8371569348.1099997</v>
      </c>
      <c r="M20" s="11">
        <v>10061466446.6</v>
      </c>
      <c r="N20" s="11">
        <v>8536055186.0799999</v>
      </c>
      <c r="O20" s="11">
        <v>11580761334.700001</v>
      </c>
      <c r="P20" s="11">
        <v>10009682656.08</v>
      </c>
      <c r="Q20" s="11">
        <v>9032579272.3899994</v>
      </c>
      <c r="R20" s="11">
        <v>7720546902.2299995</v>
      </c>
      <c r="S20" s="11">
        <v>9488460149.9699993</v>
      </c>
      <c r="T20" s="11">
        <v>8180599012.6899996</v>
      </c>
      <c r="U20" s="11">
        <v>9734548930.5</v>
      </c>
      <c r="V20" s="11">
        <v>8423790532.8400002</v>
      </c>
      <c r="W20" s="11">
        <v>11169591126.49</v>
      </c>
      <c r="X20" s="11">
        <v>9859469715.2299995</v>
      </c>
      <c r="Y20" s="11">
        <v>12289359353.389999</v>
      </c>
      <c r="Z20" s="11">
        <v>10792320836.09</v>
      </c>
      <c r="AA20" s="13">
        <f t="shared" si="0"/>
        <v>99301372692.429993</v>
      </c>
      <c r="AB20" s="11">
        <v>42509911699.940002</v>
      </c>
      <c r="AC20" s="13">
        <f t="shared" si="1"/>
        <v>234755018.18541369</v>
      </c>
      <c r="AD20" s="13">
        <f t="shared" si="2"/>
        <v>100496245.15352246</v>
      </c>
    </row>
    <row r="21" spans="1:30" x14ac:dyDescent="0.3">
      <c r="A21">
        <v>20</v>
      </c>
      <c r="B21" t="s">
        <v>112</v>
      </c>
      <c r="C21" s="11">
        <v>5507429668.6000004</v>
      </c>
      <c r="D21" s="11">
        <v>4083187855.6599998</v>
      </c>
      <c r="E21" s="11">
        <v>5742756309.1000004</v>
      </c>
      <c r="F21" s="11">
        <v>4363742272.9700003</v>
      </c>
      <c r="G21" s="11">
        <v>6819860065.1899996</v>
      </c>
      <c r="H21" s="11">
        <v>5321319017.6999998</v>
      </c>
      <c r="I21" s="11">
        <v>6129262009.0299997</v>
      </c>
      <c r="J21" s="11">
        <v>4757593203.1400003</v>
      </c>
      <c r="K21" s="11">
        <v>7009650621.5100002</v>
      </c>
      <c r="L21" s="11">
        <v>5550582821.0200005</v>
      </c>
      <c r="M21" s="11">
        <v>7416719009.3199997</v>
      </c>
      <c r="N21" s="11">
        <v>5912631663.5900002</v>
      </c>
      <c r="O21" s="11">
        <v>8629014517.7399998</v>
      </c>
      <c r="P21" s="11">
        <v>7084955464.3900003</v>
      </c>
      <c r="Q21" s="11">
        <v>6767387288.7299995</v>
      </c>
      <c r="R21" s="11">
        <v>5394326006.2399998</v>
      </c>
      <c r="S21" s="11">
        <v>7061330524.25</v>
      </c>
      <c r="T21" s="11">
        <v>5686975699.1199999</v>
      </c>
      <c r="U21" s="11">
        <v>7222898760.8100004</v>
      </c>
      <c r="V21" s="11">
        <v>5849209557.2600002</v>
      </c>
      <c r="W21" s="11">
        <v>8409248366.4200001</v>
      </c>
      <c r="X21" s="11">
        <v>7038149717.5200005</v>
      </c>
      <c r="Y21" s="11">
        <v>9074258435.5900002</v>
      </c>
      <c r="Z21" s="11">
        <v>7649974599.2799997</v>
      </c>
      <c r="AA21" s="13">
        <f t="shared" si="0"/>
        <v>68692647877.889999</v>
      </c>
      <c r="AB21" s="11">
        <v>13045383440.230001</v>
      </c>
      <c r="AC21" s="13">
        <f t="shared" si="1"/>
        <v>162393966.61439717</v>
      </c>
      <c r="AD21" s="13">
        <f t="shared" si="2"/>
        <v>30840149.976903077</v>
      </c>
    </row>
    <row r="22" spans="1:30" x14ac:dyDescent="0.3">
      <c r="A22">
        <v>21</v>
      </c>
      <c r="B22" t="s">
        <v>113</v>
      </c>
      <c r="C22" s="11">
        <v>4402147972.9499998</v>
      </c>
      <c r="D22" s="11">
        <v>3936725003.0300002</v>
      </c>
      <c r="E22" s="11">
        <v>4749616542.4899998</v>
      </c>
      <c r="F22" s="11">
        <v>4297340683.0699997</v>
      </c>
      <c r="G22" s="11">
        <v>5658508348.9700003</v>
      </c>
      <c r="H22" s="11">
        <v>5094753046.2299995</v>
      </c>
      <c r="I22" s="11">
        <v>5039525420.6800003</v>
      </c>
      <c r="J22" s="11">
        <v>4583196342.1499996</v>
      </c>
      <c r="K22" s="11">
        <v>5761249075.79</v>
      </c>
      <c r="L22" s="11">
        <v>5243464645.5799999</v>
      </c>
      <c r="M22" s="11">
        <v>6181242839.5699997</v>
      </c>
      <c r="N22" s="11">
        <v>5602066896.8900003</v>
      </c>
      <c r="O22" s="11">
        <v>7279905339.6999998</v>
      </c>
      <c r="P22" s="11">
        <v>6650898423.3100004</v>
      </c>
      <c r="Q22" s="11">
        <v>5505820573.1899996</v>
      </c>
      <c r="R22" s="11">
        <v>5050501116.1000004</v>
      </c>
      <c r="S22" s="11">
        <v>5859234129.3100004</v>
      </c>
      <c r="T22" s="11">
        <v>5396839969.7600002</v>
      </c>
      <c r="U22" s="11">
        <v>5984849256.5699997</v>
      </c>
      <c r="V22" s="11">
        <v>5522943523.2799997</v>
      </c>
      <c r="W22" s="11">
        <v>6887656390.5500002</v>
      </c>
      <c r="X22" s="11">
        <v>6413480792.0200005</v>
      </c>
      <c r="Y22" s="11">
        <v>7492950581.1599998</v>
      </c>
      <c r="Z22" s="11">
        <v>6982602592.6199999</v>
      </c>
      <c r="AA22" s="13">
        <f t="shared" si="0"/>
        <v>64774813034.040001</v>
      </c>
      <c r="AB22" s="11">
        <v>9146249907.8299999</v>
      </c>
      <c r="AC22" s="13">
        <f t="shared" si="1"/>
        <v>153131945.70695037</v>
      </c>
      <c r="AD22" s="13">
        <f t="shared" si="2"/>
        <v>21622340.207635935</v>
      </c>
    </row>
    <row r="23" spans="1:30" x14ac:dyDescent="0.3">
      <c r="A23">
        <v>22</v>
      </c>
      <c r="B23" t="s">
        <v>114</v>
      </c>
      <c r="C23" s="11">
        <v>4590336511.96</v>
      </c>
      <c r="D23" s="11">
        <v>3471121424</v>
      </c>
      <c r="E23" s="11">
        <v>5000600791.1000004</v>
      </c>
      <c r="F23" s="11">
        <v>3874563859.8899999</v>
      </c>
      <c r="G23" s="11">
        <v>5848393369.1300001</v>
      </c>
      <c r="H23" s="11">
        <v>4786130285.79</v>
      </c>
      <c r="I23" s="11">
        <v>5359461754.6499996</v>
      </c>
      <c r="J23" s="11">
        <v>4484127517.79</v>
      </c>
      <c r="K23" s="11">
        <v>5915749802.6199999</v>
      </c>
      <c r="L23" s="11">
        <v>4976090365.3400002</v>
      </c>
      <c r="M23" s="11">
        <v>6398105804.54</v>
      </c>
      <c r="N23" s="11">
        <v>5394158819.71</v>
      </c>
      <c r="O23" s="11">
        <v>7508332870.2200003</v>
      </c>
      <c r="P23" s="11">
        <v>6095686167.4499998</v>
      </c>
      <c r="Q23" s="11">
        <v>5720377062.8199997</v>
      </c>
      <c r="R23" s="11">
        <v>4846094733.5799999</v>
      </c>
      <c r="S23" s="11">
        <v>6110788500.8800001</v>
      </c>
      <c r="T23" s="11">
        <v>4869210711.6000004</v>
      </c>
      <c r="U23" s="11">
        <v>6307646700.5600004</v>
      </c>
      <c r="V23" s="11">
        <v>5066580146.1199999</v>
      </c>
      <c r="W23" s="11">
        <v>7131290797.6800003</v>
      </c>
      <c r="X23" s="11">
        <v>5877381398.4899998</v>
      </c>
      <c r="Y23" s="11">
        <v>7812300247.8100004</v>
      </c>
      <c r="Z23" s="11">
        <v>6404721125.6599998</v>
      </c>
      <c r="AA23" s="13">
        <f t="shared" si="0"/>
        <v>60145866555.419998</v>
      </c>
      <c r="AB23" s="11">
        <v>18214434263.830002</v>
      </c>
      <c r="AC23" s="13">
        <f t="shared" si="1"/>
        <v>142188809.82368794</v>
      </c>
      <c r="AD23" s="13">
        <f t="shared" si="2"/>
        <v>43060128.283286057</v>
      </c>
    </row>
    <row r="24" spans="1:30" x14ac:dyDescent="0.3">
      <c r="A24">
        <v>23</v>
      </c>
      <c r="B24" t="s">
        <v>115</v>
      </c>
      <c r="C24" s="11">
        <v>3895447800.9099998</v>
      </c>
      <c r="D24" s="11">
        <v>2624085227.98</v>
      </c>
      <c r="E24" s="11">
        <v>4181716581.2199998</v>
      </c>
      <c r="F24" s="11">
        <v>2932789536.8000002</v>
      </c>
      <c r="G24" s="11">
        <v>5048384590.2799997</v>
      </c>
      <c r="H24" s="11">
        <v>3703751692.23</v>
      </c>
      <c r="I24" s="11">
        <v>4470797355.7399998</v>
      </c>
      <c r="J24" s="11">
        <v>3218453420.3899999</v>
      </c>
      <c r="K24" s="11">
        <v>5334158693.5299997</v>
      </c>
      <c r="L24" s="11">
        <v>4030007484.5100002</v>
      </c>
      <c r="M24" s="11">
        <v>5381709150.6300001</v>
      </c>
      <c r="N24" s="11">
        <v>4025780993.4099998</v>
      </c>
      <c r="O24" s="11">
        <v>6303671015.5200005</v>
      </c>
      <c r="P24" s="11">
        <v>2244031759.4000001</v>
      </c>
      <c r="Q24" s="11">
        <v>4874754874.8199997</v>
      </c>
      <c r="R24" s="11">
        <v>3623258141.8899999</v>
      </c>
      <c r="S24" s="11">
        <v>5151517850.0900002</v>
      </c>
      <c r="T24" s="11">
        <v>3894057095.5300002</v>
      </c>
      <c r="U24" s="11">
        <v>5349527454.3000002</v>
      </c>
      <c r="V24" s="11">
        <v>4092478446.9200001</v>
      </c>
      <c r="W24" s="11">
        <v>6020495771.4200001</v>
      </c>
      <c r="X24" s="11">
        <v>4753103184.7700005</v>
      </c>
      <c r="Y24" s="11">
        <v>6609878642.2200003</v>
      </c>
      <c r="Z24" s="11">
        <v>5287947411.7200003</v>
      </c>
      <c r="AA24" s="13">
        <f t="shared" si="0"/>
        <v>44429744395.550003</v>
      </c>
      <c r="AB24" s="11">
        <v>35756949370.010002</v>
      </c>
      <c r="AC24" s="13">
        <f t="shared" si="1"/>
        <v>105034856.72706856</v>
      </c>
      <c r="AD24" s="13">
        <f t="shared" si="2"/>
        <v>84531795.200969279</v>
      </c>
    </row>
    <row r="25" spans="1:30" x14ac:dyDescent="0.3">
      <c r="A25">
        <v>24</v>
      </c>
      <c r="B25" t="s">
        <v>116</v>
      </c>
      <c r="C25" s="11">
        <v>15878644235.629999</v>
      </c>
      <c r="D25" s="11">
        <v>11149458399.6</v>
      </c>
      <c r="E25" s="11">
        <v>15681859291.42</v>
      </c>
      <c r="F25" s="11">
        <v>11866676558.84</v>
      </c>
      <c r="G25" s="11">
        <v>19190725255.43</v>
      </c>
      <c r="H25" s="11">
        <v>15245544865.18</v>
      </c>
      <c r="I25" s="11">
        <v>15567803229.5</v>
      </c>
      <c r="J25" s="11">
        <v>9752620496.9200001</v>
      </c>
      <c r="K25" s="11">
        <v>24784873853.799999</v>
      </c>
      <c r="L25" s="11">
        <v>19880272316.959999</v>
      </c>
      <c r="M25" s="11">
        <v>19316218343.990002</v>
      </c>
      <c r="N25" s="11">
        <v>14359669177.690001</v>
      </c>
      <c r="O25" s="11">
        <v>19532117926.84</v>
      </c>
      <c r="P25" s="11">
        <v>14533442078.48</v>
      </c>
      <c r="Q25" s="11">
        <v>18487591536.130001</v>
      </c>
      <c r="R25" s="11">
        <v>13672408803.549999</v>
      </c>
      <c r="S25" s="11">
        <v>18341242692.549999</v>
      </c>
      <c r="T25" s="11">
        <v>11710022771.969999</v>
      </c>
      <c r="U25" s="11">
        <v>20288361130.939999</v>
      </c>
      <c r="V25" s="11">
        <v>13657141210.360001</v>
      </c>
      <c r="W25" s="11">
        <v>19696723223.259998</v>
      </c>
      <c r="X25" s="11">
        <v>12063687044.18</v>
      </c>
      <c r="Y25" s="11">
        <v>22910608533.330002</v>
      </c>
      <c r="Z25" s="11">
        <v>13403510414.77</v>
      </c>
      <c r="AA25" s="13">
        <f t="shared" si="0"/>
        <v>161294454138.5</v>
      </c>
      <c r="AB25" s="11">
        <v>651145633085.30005</v>
      </c>
      <c r="AC25" s="13">
        <f t="shared" si="1"/>
        <v>381310766.28486997</v>
      </c>
      <c r="AD25" s="13">
        <f t="shared" si="2"/>
        <v>1539351378.452246</v>
      </c>
    </row>
    <row r="26" spans="1:30" x14ac:dyDescent="0.3">
      <c r="A26">
        <v>25</v>
      </c>
      <c r="B26" t="s">
        <v>117</v>
      </c>
      <c r="C26" s="11">
        <v>3869625792.1599998</v>
      </c>
      <c r="D26" s="11">
        <v>3392612866.9699998</v>
      </c>
      <c r="E26" s="11">
        <v>4179738297.3400002</v>
      </c>
      <c r="F26" s="11">
        <v>3739171641.4200001</v>
      </c>
      <c r="G26" s="11">
        <v>4949611131.2299995</v>
      </c>
      <c r="H26" s="11">
        <v>4416124626.6700001</v>
      </c>
      <c r="I26" s="11">
        <v>4415906683.9200001</v>
      </c>
      <c r="J26" s="11">
        <v>3975340028</v>
      </c>
      <c r="K26" s="11">
        <v>5046385523.8599997</v>
      </c>
      <c r="L26" s="11">
        <v>4544263069.3400002</v>
      </c>
      <c r="M26" s="11">
        <v>5399419480.8599997</v>
      </c>
      <c r="N26" s="11">
        <v>4861536339.9499998</v>
      </c>
      <c r="O26" s="11">
        <v>6332545177.4700003</v>
      </c>
      <c r="P26" s="11">
        <v>5765662078.6800003</v>
      </c>
      <c r="Q26" s="11">
        <v>4851818235.0100002</v>
      </c>
      <c r="R26" s="11">
        <v>4411251579.0900002</v>
      </c>
      <c r="S26" s="11">
        <v>5101456646.7299995</v>
      </c>
      <c r="T26" s="11">
        <v>4660889990.8100004</v>
      </c>
      <c r="U26" s="11">
        <v>5186197512.9499998</v>
      </c>
      <c r="V26" s="11">
        <v>4745630857.0299997</v>
      </c>
      <c r="W26" s="11">
        <v>6030619414.8800001</v>
      </c>
      <c r="X26" s="11">
        <v>5590052758.8999996</v>
      </c>
      <c r="Y26" s="11">
        <v>6536975469.25</v>
      </c>
      <c r="Z26" s="11">
        <v>6008615752.3800001</v>
      </c>
      <c r="AA26" s="13">
        <f t="shared" si="0"/>
        <v>56111151589.239998</v>
      </c>
      <c r="AB26" s="11">
        <v>19277607937.43</v>
      </c>
      <c r="AC26" s="13">
        <f t="shared" si="1"/>
        <v>132650476.57030733</v>
      </c>
      <c r="AD26" s="13">
        <f t="shared" si="2"/>
        <v>45573541.223238774</v>
      </c>
    </row>
    <row r="27" spans="1:30" x14ac:dyDescent="0.3">
      <c r="A27">
        <v>26</v>
      </c>
      <c r="B27" t="s">
        <v>118</v>
      </c>
      <c r="C27" s="11">
        <v>4895126189.5</v>
      </c>
      <c r="D27" s="11">
        <v>4173544286.4400001</v>
      </c>
      <c r="E27" s="11">
        <v>5310928296.0299997</v>
      </c>
      <c r="F27" s="11">
        <v>4516135869.4399996</v>
      </c>
      <c r="G27" s="11">
        <v>6385135022.0799999</v>
      </c>
      <c r="H27" s="11">
        <v>5468956780.3500004</v>
      </c>
      <c r="I27" s="11">
        <v>5614065727.2700005</v>
      </c>
      <c r="J27" s="11">
        <v>4815498554.54</v>
      </c>
      <c r="K27" s="11">
        <v>6557743738.6099997</v>
      </c>
      <c r="L27" s="11">
        <v>5690672155.2799997</v>
      </c>
      <c r="M27" s="11">
        <v>6927000139.5799999</v>
      </c>
      <c r="N27" s="11">
        <v>5404125727.4499998</v>
      </c>
      <c r="O27" s="11">
        <v>8092534131.6499996</v>
      </c>
      <c r="P27" s="11">
        <v>6517105269.4300003</v>
      </c>
      <c r="Q27" s="11">
        <v>6079980152.5100002</v>
      </c>
      <c r="R27" s="11">
        <v>4693265102.0900002</v>
      </c>
      <c r="S27" s="11">
        <v>6525080199.46</v>
      </c>
      <c r="T27" s="11">
        <v>5100749110.4799995</v>
      </c>
      <c r="U27" s="11">
        <v>6619065694.75</v>
      </c>
      <c r="V27" s="11">
        <v>5189920897.3599997</v>
      </c>
      <c r="W27" s="11">
        <v>7717097692.8500004</v>
      </c>
      <c r="X27" s="11">
        <v>6299709475.2200003</v>
      </c>
      <c r="Y27" s="11">
        <v>8462051168.8000002</v>
      </c>
      <c r="Z27" s="11">
        <v>6946331923.5299997</v>
      </c>
      <c r="AA27" s="13">
        <f t="shared" si="0"/>
        <v>64816015151.610001</v>
      </c>
      <c r="AB27" s="11">
        <v>16930259572.869997</v>
      </c>
      <c r="AC27" s="13">
        <f t="shared" si="1"/>
        <v>153229350.24021277</v>
      </c>
      <c r="AD27" s="13">
        <f t="shared" si="2"/>
        <v>40024254.309385337</v>
      </c>
    </row>
    <row r="28" spans="1:30" x14ac:dyDescent="0.3">
      <c r="A28">
        <v>27</v>
      </c>
      <c r="B28" t="s">
        <v>119</v>
      </c>
      <c r="C28" s="11">
        <v>4304922417.1700001</v>
      </c>
      <c r="D28" s="11">
        <v>2701763681.3000002</v>
      </c>
      <c r="E28" s="11">
        <v>4561923656.0900002</v>
      </c>
      <c r="F28" s="11">
        <v>2887543174.5</v>
      </c>
      <c r="G28" s="11">
        <v>5422445410.5900002</v>
      </c>
      <c r="H28" s="11">
        <v>3654536709.2199998</v>
      </c>
      <c r="I28" s="11">
        <v>4856542979.8000002</v>
      </c>
      <c r="J28" s="11">
        <v>3182162498.21</v>
      </c>
      <c r="K28" s="11">
        <v>5727452590.6700001</v>
      </c>
      <c r="L28" s="11">
        <v>3991059135.4499998</v>
      </c>
      <c r="M28" s="11">
        <v>5920931658.5500002</v>
      </c>
      <c r="N28" s="11">
        <v>3762715821.2600002</v>
      </c>
      <c r="O28" s="11">
        <v>6811792773.1800003</v>
      </c>
      <c r="P28" s="11">
        <v>4624361595.2700005</v>
      </c>
      <c r="Q28" s="11">
        <v>5357276061.7700005</v>
      </c>
      <c r="R28" s="11">
        <v>3297099479.1799998</v>
      </c>
      <c r="S28" s="11">
        <v>5660665333.9700003</v>
      </c>
      <c r="T28" s="11">
        <v>3475488751.3800001</v>
      </c>
      <c r="U28" s="11">
        <v>5770525933.5900002</v>
      </c>
      <c r="V28" s="11">
        <v>3585349351</v>
      </c>
      <c r="W28" s="11">
        <v>6630645850.7700005</v>
      </c>
      <c r="X28" s="11">
        <v>4445469268.1800003</v>
      </c>
      <c r="Y28" s="11">
        <v>7348161491.9899998</v>
      </c>
      <c r="Z28" s="11">
        <v>5250317030.7200003</v>
      </c>
      <c r="AA28" s="13">
        <f t="shared" si="0"/>
        <v>44857866495.670006</v>
      </c>
      <c r="AB28" s="11">
        <v>120584157140.78</v>
      </c>
      <c r="AC28" s="13">
        <f t="shared" si="1"/>
        <v>106046965.71080379</v>
      </c>
      <c r="AD28" s="13">
        <f t="shared" si="2"/>
        <v>285068929.4108274</v>
      </c>
    </row>
    <row r="29" spans="1:30" x14ac:dyDescent="0.3">
      <c r="A29">
        <v>28</v>
      </c>
      <c r="B29" t="s">
        <v>120</v>
      </c>
      <c r="C29" s="11">
        <v>5832057171.4099998</v>
      </c>
      <c r="D29" s="11">
        <v>4634369795.8599997</v>
      </c>
      <c r="E29" s="11">
        <v>5769962638.6199999</v>
      </c>
      <c r="F29" s="11">
        <v>4589971873.5</v>
      </c>
      <c r="G29" s="11">
        <v>7247944446.5100002</v>
      </c>
      <c r="H29" s="11">
        <v>5968371624.6800003</v>
      </c>
      <c r="I29" s="11">
        <v>6700494059.21</v>
      </c>
      <c r="J29" s="11">
        <v>5516930031.8199997</v>
      </c>
      <c r="K29" s="11">
        <v>7325988224.5500002</v>
      </c>
      <c r="L29" s="11">
        <v>6088246004.1000004</v>
      </c>
      <c r="M29" s="11">
        <v>8401051661.46</v>
      </c>
      <c r="N29" s="11">
        <v>7030444717.7200003</v>
      </c>
      <c r="O29" s="11">
        <v>9536127538.2199993</v>
      </c>
      <c r="P29" s="11">
        <v>8134521924.6199999</v>
      </c>
      <c r="Q29" s="11">
        <v>7517340633.1400003</v>
      </c>
      <c r="R29" s="11">
        <v>6268432121.2399998</v>
      </c>
      <c r="S29" s="11">
        <v>9027900975.1900005</v>
      </c>
      <c r="T29" s="11">
        <v>7773178877.1700001</v>
      </c>
      <c r="U29" s="11">
        <v>7721020030.5299997</v>
      </c>
      <c r="V29" s="11">
        <v>6464863359.3900003</v>
      </c>
      <c r="W29" s="11">
        <v>10108800355</v>
      </c>
      <c r="X29" s="11">
        <v>8843691902.3600006</v>
      </c>
      <c r="Y29" s="11">
        <v>12066198476.200001</v>
      </c>
      <c r="Z29" s="11">
        <v>10612820520.57</v>
      </c>
      <c r="AA29" s="13">
        <f t="shared" si="0"/>
        <v>81925842753.029999</v>
      </c>
      <c r="AB29" s="11">
        <v>32640660900.25</v>
      </c>
      <c r="AC29" s="13">
        <f t="shared" si="1"/>
        <v>193678115.25539008</v>
      </c>
      <c r="AD29" s="13">
        <f t="shared" si="2"/>
        <v>77164682.979314417</v>
      </c>
    </row>
    <row r="30" spans="1:30" x14ac:dyDescent="0.3">
      <c r="A30">
        <v>29</v>
      </c>
      <c r="B30" t="s">
        <v>121</v>
      </c>
      <c r="C30" s="11">
        <v>4096547583.7600002</v>
      </c>
      <c r="D30" s="11">
        <v>2259579445.73</v>
      </c>
      <c r="E30" s="11">
        <v>4355823087.9899998</v>
      </c>
      <c r="F30" s="11">
        <v>2572124992.25</v>
      </c>
      <c r="G30" s="11">
        <v>5226947747.3299999</v>
      </c>
      <c r="H30" s="11">
        <v>3351234220.3099999</v>
      </c>
      <c r="I30" s="11">
        <v>4636681111.1800003</v>
      </c>
      <c r="J30" s="11">
        <v>2852983015.4400001</v>
      </c>
      <c r="K30" s="11">
        <v>5434489316.0600004</v>
      </c>
      <c r="L30" s="11">
        <v>3589915067.7600002</v>
      </c>
      <c r="M30" s="11">
        <v>5664659898.0699997</v>
      </c>
      <c r="N30" s="11">
        <v>3784719802.04</v>
      </c>
      <c r="O30" s="11">
        <v>6546085488.6000004</v>
      </c>
      <c r="P30" s="11">
        <v>4637466627.2200003</v>
      </c>
      <c r="Q30" s="11">
        <v>5112400027.0500002</v>
      </c>
      <c r="R30" s="11">
        <v>3328701931.3099999</v>
      </c>
      <c r="S30" s="11">
        <v>5420931799.8699999</v>
      </c>
      <c r="T30" s="11">
        <v>3637233704.1300001</v>
      </c>
      <c r="U30" s="11">
        <v>5499026138.5</v>
      </c>
      <c r="V30" s="11">
        <v>3715328042.7600002</v>
      </c>
      <c r="W30" s="11">
        <v>6328875124.4399996</v>
      </c>
      <c r="X30" s="11">
        <v>4545177028.6999998</v>
      </c>
      <c r="Y30" s="11">
        <v>7050523123.9499998</v>
      </c>
      <c r="Z30" s="11">
        <v>5076379413.8299999</v>
      </c>
      <c r="AA30" s="13">
        <f t="shared" si="0"/>
        <v>43350843291.480003</v>
      </c>
      <c r="AB30" s="11">
        <v>24605340053.839996</v>
      </c>
      <c r="AC30" s="13">
        <f t="shared" si="1"/>
        <v>102484263.10042554</v>
      </c>
      <c r="AD30" s="13">
        <f t="shared" si="2"/>
        <v>58168652.609550819</v>
      </c>
    </row>
    <row r="31" spans="1:30" x14ac:dyDescent="0.3">
      <c r="A31">
        <v>30</v>
      </c>
      <c r="B31" t="s">
        <v>122</v>
      </c>
      <c r="C31" s="11">
        <v>6417226019.5500002</v>
      </c>
      <c r="D31" s="11">
        <v>4589860248.4399996</v>
      </c>
      <c r="E31" s="11">
        <v>6529881795.3100004</v>
      </c>
      <c r="F31" s="11">
        <v>4814388104.6099997</v>
      </c>
      <c r="G31" s="11">
        <v>7703336366.75</v>
      </c>
      <c r="H31" s="11">
        <v>5922295804.4499998</v>
      </c>
      <c r="I31" s="11">
        <v>7036471604.8199997</v>
      </c>
      <c r="J31" s="11">
        <v>5366062628.2399998</v>
      </c>
      <c r="K31" s="11">
        <v>8992104010.1700001</v>
      </c>
      <c r="L31" s="11">
        <v>7246829326.8900003</v>
      </c>
      <c r="M31" s="11">
        <v>8375189409.4700003</v>
      </c>
      <c r="N31" s="11">
        <v>6586421682.1700001</v>
      </c>
      <c r="O31" s="11">
        <v>9434355336.5200005</v>
      </c>
      <c r="P31" s="11">
        <v>7610317132.8400002</v>
      </c>
      <c r="Q31" s="11">
        <v>7530474909.0799999</v>
      </c>
      <c r="R31" s="11">
        <v>5860065932.5</v>
      </c>
      <c r="S31" s="11">
        <v>8190973967.4399996</v>
      </c>
      <c r="T31" s="11">
        <v>6520564990.8599997</v>
      </c>
      <c r="U31" s="11">
        <v>8797279338.9799995</v>
      </c>
      <c r="V31" s="11">
        <v>7126870362.3999996</v>
      </c>
      <c r="W31" s="11">
        <v>9249517559.2399998</v>
      </c>
      <c r="X31" s="11">
        <v>7579108582.6599998</v>
      </c>
      <c r="Y31" s="11">
        <v>9928619824.7299995</v>
      </c>
      <c r="Z31" s="11">
        <v>8050029348</v>
      </c>
      <c r="AA31" s="13">
        <f t="shared" si="0"/>
        <v>77272814144.059998</v>
      </c>
      <c r="AB31" s="11">
        <v>62246150460.359993</v>
      </c>
      <c r="AC31" s="13">
        <f t="shared" si="1"/>
        <v>182678047.62189126</v>
      </c>
      <c r="AD31" s="13">
        <f t="shared" si="2"/>
        <v>147154020.00085104</v>
      </c>
    </row>
    <row r="32" spans="1:30" x14ac:dyDescent="0.3">
      <c r="A32">
        <v>31</v>
      </c>
      <c r="B32" t="s">
        <v>123</v>
      </c>
      <c r="C32" s="11">
        <v>4414072541.21</v>
      </c>
      <c r="D32" s="11">
        <v>2590492996.1799998</v>
      </c>
      <c r="E32" s="11">
        <v>4738586059.1099997</v>
      </c>
      <c r="F32" s="11">
        <v>2930293657.7399998</v>
      </c>
      <c r="G32" s="11">
        <v>5703734595.6099997</v>
      </c>
      <c r="H32" s="11">
        <v>3785073809.8299999</v>
      </c>
      <c r="I32" s="11">
        <v>5062450364.0900002</v>
      </c>
      <c r="J32" s="11">
        <v>3250149565.21</v>
      </c>
      <c r="K32" s="11">
        <v>5831158157.4499998</v>
      </c>
      <c r="L32" s="11">
        <v>3958081597.4899998</v>
      </c>
      <c r="M32" s="11">
        <v>6159734826.4399996</v>
      </c>
      <c r="N32" s="11">
        <v>4018832263.3000002</v>
      </c>
      <c r="O32" s="11">
        <v>7215925029.1300001</v>
      </c>
      <c r="P32" s="11">
        <v>5205765502.2700005</v>
      </c>
      <c r="Q32" s="11">
        <v>5558667192.8900003</v>
      </c>
      <c r="R32" s="11">
        <v>3720274440.46</v>
      </c>
      <c r="S32" s="11">
        <v>5816215036.8100004</v>
      </c>
      <c r="T32" s="11">
        <v>3970825815.9699998</v>
      </c>
      <c r="U32" s="11">
        <v>5979826170.4200001</v>
      </c>
      <c r="V32" s="11">
        <v>4134919974.6799998</v>
      </c>
      <c r="W32" s="11">
        <v>6932915067.8800001</v>
      </c>
      <c r="X32" s="11">
        <v>5075874690.5299997</v>
      </c>
      <c r="Y32" s="11">
        <v>7530378900.0200005</v>
      </c>
      <c r="Z32" s="11">
        <v>5628237851.29</v>
      </c>
      <c r="AA32" s="13">
        <f t="shared" si="0"/>
        <v>48268822164.949997</v>
      </c>
      <c r="AB32" s="11">
        <v>15927001738.990002</v>
      </c>
      <c r="AC32" s="13">
        <f t="shared" si="1"/>
        <v>114110690.69728132</v>
      </c>
      <c r="AD32" s="13">
        <f t="shared" si="2"/>
        <v>37652486.38059102</v>
      </c>
    </row>
    <row r="33" spans="1:30" x14ac:dyDescent="0.3">
      <c r="A33">
        <v>32</v>
      </c>
      <c r="B33" t="s">
        <v>124</v>
      </c>
      <c r="C33" s="11">
        <v>16235732015.66</v>
      </c>
      <c r="D33" s="11">
        <v>15230450741.059999</v>
      </c>
      <c r="E33" s="11">
        <v>16489391812.99</v>
      </c>
      <c r="F33" s="11">
        <v>15554591142.379999</v>
      </c>
      <c r="G33" s="11">
        <v>25851184221.759998</v>
      </c>
      <c r="H33" s="11">
        <v>24802759733.490002</v>
      </c>
      <c r="I33" s="11">
        <v>23929022340.799999</v>
      </c>
      <c r="J33" s="11">
        <v>22990081944.049999</v>
      </c>
      <c r="K33" s="11">
        <v>23879864106.759998</v>
      </c>
      <c r="L33" s="11">
        <v>22878156729.779999</v>
      </c>
      <c r="M33" s="11">
        <v>24718998481.099998</v>
      </c>
      <c r="N33" s="11">
        <v>23561824558.220001</v>
      </c>
      <c r="O33" s="11">
        <v>28027539329.869999</v>
      </c>
      <c r="P33" s="11">
        <v>26912230925.259998</v>
      </c>
      <c r="Q33" s="11">
        <v>26236012078.200001</v>
      </c>
      <c r="R33" s="11">
        <v>25295303034.130001</v>
      </c>
      <c r="S33" s="11">
        <v>30048951580.57</v>
      </c>
      <c r="T33" s="11">
        <v>29103811913.580002</v>
      </c>
      <c r="U33" s="11">
        <v>21132860447.07</v>
      </c>
      <c r="V33" s="11">
        <v>20162871665.68</v>
      </c>
      <c r="W33" s="11">
        <v>30706664982.310001</v>
      </c>
      <c r="X33" s="11">
        <v>29749492427.57</v>
      </c>
      <c r="Y33" s="11">
        <v>41439840871.239998</v>
      </c>
      <c r="Z33" s="11">
        <v>40381141180.599998</v>
      </c>
      <c r="AA33" s="13">
        <f t="shared" si="0"/>
        <v>296622715995.79999</v>
      </c>
      <c r="AB33" s="11">
        <v>172823232535.44</v>
      </c>
      <c r="AC33" s="13">
        <f t="shared" si="1"/>
        <v>701235735.21465719</v>
      </c>
      <c r="AD33" s="13">
        <f t="shared" si="2"/>
        <v>408565561.54950356</v>
      </c>
    </row>
    <row r="34" spans="1:30" x14ac:dyDescent="0.3">
      <c r="A34">
        <v>33</v>
      </c>
      <c r="B34" t="s">
        <v>125</v>
      </c>
      <c r="C34" s="11">
        <v>4693308676.3000002</v>
      </c>
      <c r="D34" s="11">
        <v>3708970373.6900001</v>
      </c>
      <c r="E34" s="11">
        <v>5031251214.4399996</v>
      </c>
      <c r="F34" s="11">
        <v>4067985225.2399998</v>
      </c>
      <c r="G34" s="11">
        <v>5957674470.8500004</v>
      </c>
      <c r="H34" s="11">
        <v>4718827937.2600002</v>
      </c>
      <c r="I34" s="11">
        <v>5355739272.8199997</v>
      </c>
      <c r="J34" s="11">
        <v>4225791171.4099998</v>
      </c>
      <c r="K34" s="11">
        <v>6048100940.3800001</v>
      </c>
      <c r="L34" s="11">
        <v>4638571717.9200001</v>
      </c>
      <c r="M34" s="11">
        <v>6491397578.9300003</v>
      </c>
      <c r="N34" s="11">
        <v>5039131949.8599997</v>
      </c>
      <c r="O34" s="11">
        <v>7654413734.1800003</v>
      </c>
      <c r="P34" s="11">
        <v>6167491220.2299995</v>
      </c>
      <c r="Q34" s="11">
        <v>5838081789.0699997</v>
      </c>
      <c r="R34" s="11">
        <v>4502115853.6599998</v>
      </c>
      <c r="S34" s="11">
        <v>6190905216.5900002</v>
      </c>
      <c r="T34" s="11">
        <v>5007808036.4099998</v>
      </c>
      <c r="U34" s="11">
        <v>6237992101.0500002</v>
      </c>
      <c r="V34" s="11">
        <v>5054894920.8699999</v>
      </c>
      <c r="W34" s="11">
        <v>7193340637.3000002</v>
      </c>
      <c r="X34" s="11">
        <v>6010243457.1199999</v>
      </c>
      <c r="Y34" s="11">
        <v>7910492091.3000002</v>
      </c>
      <c r="Z34" s="11">
        <v>6676694086.6899996</v>
      </c>
      <c r="AA34" s="13">
        <f t="shared" si="0"/>
        <v>59818525950.360016</v>
      </c>
      <c r="AB34" s="11">
        <v>23617172198.73</v>
      </c>
      <c r="AC34" s="13">
        <f t="shared" si="1"/>
        <v>141414954.96539012</v>
      </c>
      <c r="AD34" s="13">
        <f t="shared" si="2"/>
        <v>55832558.389432624</v>
      </c>
    </row>
    <row r="35" spans="1:30" x14ac:dyDescent="0.3">
      <c r="A35">
        <v>34</v>
      </c>
      <c r="B35" t="s">
        <v>126</v>
      </c>
      <c r="C35" s="11">
        <v>3997769954.0300002</v>
      </c>
      <c r="D35" s="11">
        <v>2842349018.6100001</v>
      </c>
      <c r="E35" s="11">
        <v>4433862641.96</v>
      </c>
      <c r="F35" s="11">
        <v>3405354522.5300002</v>
      </c>
      <c r="G35" s="11">
        <v>5140780596.0699997</v>
      </c>
      <c r="H35" s="11">
        <v>4015704347.1599998</v>
      </c>
      <c r="I35" s="11">
        <v>4618289926.6400003</v>
      </c>
      <c r="J35" s="11">
        <v>3589781807.21</v>
      </c>
      <c r="K35" s="11">
        <v>5257531734.8699999</v>
      </c>
      <c r="L35" s="11">
        <v>4164726229.02</v>
      </c>
      <c r="M35" s="11">
        <v>5672549239.0799999</v>
      </c>
      <c r="N35" s="11">
        <v>4542390328.29</v>
      </c>
      <c r="O35" s="11">
        <v>6578643795.8100004</v>
      </c>
      <c r="P35" s="11">
        <v>5446193319.6400003</v>
      </c>
      <c r="Q35" s="11">
        <v>4990951581.2799997</v>
      </c>
      <c r="R35" s="11">
        <v>3990443461.8499999</v>
      </c>
      <c r="S35" s="11">
        <v>5315020279.6700001</v>
      </c>
      <c r="T35" s="11">
        <v>4314512160.2399998</v>
      </c>
      <c r="U35" s="11">
        <v>5453990070.7600002</v>
      </c>
      <c r="V35" s="11">
        <v>4453481951.3299999</v>
      </c>
      <c r="W35" s="11">
        <v>6285484986.6099997</v>
      </c>
      <c r="X35" s="11">
        <v>5284976867.1800003</v>
      </c>
      <c r="Y35" s="11">
        <v>6819240935.5699997</v>
      </c>
      <c r="Z35" s="11">
        <v>5691800731.0699997</v>
      </c>
      <c r="AA35" s="13">
        <f t="shared" si="0"/>
        <v>51741714744.129997</v>
      </c>
      <c r="AB35" s="11">
        <v>10238110125.950001</v>
      </c>
      <c r="AC35" s="13">
        <f t="shared" si="1"/>
        <v>122320838.63860519</v>
      </c>
      <c r="AD35" s="13">
        <f t="shared" si="2"/>
        <v>24203570.037706859</v>
      </c>
    </row>
    <row r="36" spans="1:30" x14ac:dyDescent="0.3">
      <c r="A36">
        <v>35</v>
      </c>
      <c r="B36" t="s">
        <v>127</v>
      </c>
      <c r="C36" s="11">
        <v>4188228156.8299999</v>
      </c>
      <c r="D36" s="11">
        <v>3300039440.6100001</v>
      </c>
      <c r="E36" s="11">
        <v>4454983595.8599997</v>
      </c>
      <c r="F36" s="11">
        <v>3639631876.1900001</v>
      </c>
      <c r="G36" s="11">
        <v>5257727067.5299997</v>
      </c>
      <c r="H36" s="11">
        <v>4272829433.27</v>
      </c>
      <c r="I36" s="11">
        <v>4715775731.5200005</v>
      </c>
      <c r="J36" s="11">
        <v>3830087656.02</v>
      </c>
      <c r="K36" s="11">
        <v>5375282802.5900002</v>
      </c>
      <c r="L36" s="11">
        <v>4423312375.5100002</v>
      </c>
      <c r="M36" s="11">
        <v>5783338512.8699999</v>
      </c>
      <c r="N36" s="11">
        <v>4804976830.5699997</v>
      </c>
      <c r="O36" s="11">
        <v>6797443746.7399998</v>
      </c>
      <c r="P36" s="11">
        <v>5791454246.3100004</v>
      </c>
      <c r="Q36" s="11">
        <v>5108956400.9099998</v>
      </c>
      <c r="R36" s="11">
        <v>4238982532.9099998</v>
      </c>
      <c r="S36" s="11">
        <v>5450340167.71</v>
      </c>
      <c r="T36" s="11">
        <v>4745659942.1099997</v>
      </c>
      <c r="U36" s="11">
        <v>5535413812.0500002</v>
      </c>
      <c r="V36" s="11">
        <v>4830733586.4499998</v>
      </c>
      <c r="W36" s="11">
        <v>6406456648.7700005</v>
      </c>
      <c r="X36" s="11">
        <v>5701776423.1700001</v>
      </c>
      <c r="Y36" s="11">
        <v>6958482773.8199997</v>
      </c>
      <c r="Z36" s="11">
        <v>6237766672.9200001</v>
      </c>
      <c r="AA36" s="13">
        <f t="shared" si="0"/>
        <v>55817251016.039993</v>
      </c>
      <c r="AB36" s="11">
        <v>10456776796.18</v>
      </c>
      <c r="AC36" s="13">
        <f t="shared" si="1"/>
        <v>131955676.16085105</v>
      </c>
      <c r="AD36" s="13">
        <f t="shared" si="2"/>
        <v>24720512.520520095</v>
      </c>
    </row>
    <row r="37" spans="1:30" x14ac:dyDescent="0.3">
      <c r="A37">
        <v>36</v>
      </c>
      <c r="B37" t="s">
        <v>128</v>
      </c>
      <c r="C37" s="11">
        <v>4294354489.0599999</v>
      </c>
      <c r="D37" s="11">
        <v>3526819085.4099998</v>
      </c>
      <c r="E37" s="11">
        <v>4613391127.96</v>
      </c>
      <c r="F37" s="11">
        <v>3862162765.5700002</v>
      </c>
      <c r="G37" s="11">
        <v>5446359533.2700005</v>
      </c>
      <c r="H37" s="11">
        <v>4595733765.1999998</v>
      </c>
      <c r="I37" s="11">
        <v>4859467229.25</v>
      </c>
      <c r="J37" s="11">
        <v>4108238866.8600001</v>
      </c>
      <c r="K37" s="11">
        <v>5569881336.21</v>
      </c>
      <c r="L37" s="11">
        <v>4752229460.1800003</v>
      </c>
      <c r="M37" s="11">
        <v>5956455399.3400002</v>
      </c>
      <c r="N37" s="11">
        <v>5096044950.1199999</v>
      </c>
      <c r="O37" s="11">
        <v>6925185305.6700001</v>
      </c>
      <c r="P37" s="11">
        <v>6033481641.2700005</v>
      </c>
      <c r="Q37" s="11">
        <v>5339618814.4399996</v>
      </c>
      <c r="R37" s="11">
        <v>4162007312.0599999</v>
      </c>
      <c r="S37" s="11">
        <v>5646350322.5799999</v>
      </c>
      <c r="T37" s="11">
        <v>4468738820.1999998</v>
      </c>
      <c r="U37" s="11">
        <v>5757732860.25</v>
      </c>
      <c r="V37" s="11">
        <v>4580121357.8699999</v>
      </c>
      <c r="W37" s="11">
        <v>6605350115.25</v>
      </c>
      <c r="X37" s="11">
        <v>5427738612.8699999</v>
      </c>
      <c r="Y37" s="11">
        <v>7219042828.0299997</v>
      </c>
      <c r="Z37" s="11">
        <v>6003784630.8000002</v>
      </c>
      <c r="AA37" s="13">
        <f t="shared" si="0"/>
        <v>56617101268.410004</v>
      </c>
      <c r="AB37" s="11">
        <v>19439732224.09</v>
      </c>
      <c r="AC37" s="13">
        <f t="shared" si="1"/>
        <v>133846575.10262412</v>
      </c>
      <c r="AD37" s="13">
        <f t="shared" si="2"/>
        <v>45956813.76853428</v>
      </c>
    </row>
    <row r="38" spans="1:30" x14ac:dyDescent="0.3">
      <c r="A38">
        <v>37</v>
      </c>
      <c r="B38" t="s">
        <v>62</v>
      </c>
      <c r="C38" s="11">
        <v>5044970320.9200001</v>
      </c>
      <c r="D38" s="11">
        <v>5044970320.9200001</v>
      </c>
      <c r="E38" s="11"/>
      <c r="F38" s="11">
        <v>5598599616.21</v>
      </c>
      <c r="G38" s="11"/>
      <c r="H38" s="11">
        <v>6652797044.5600004</v>
      </c>
      <c r="I38" s="11"/>
      <c r="J38" s="11">
        <v>6011801225.9300003</v>
      </c>
      <c r="K38" s="11">
        <v>6403929032.1499996</v>
      </c>
      <c r="L38" s="11">
        <v>6403929032.1499996</v>
      </c>
      <c r="M38" s="11"/>
      <c r="N38" s="11">
        <v>7426722916.9700003</v>
      </c>
      <c r="O38" s="11"/>
      <c r="P38" s="11">
        <v>8916327615.6700001</v>
      </c>
      <c r="Q38" s="11">
        <v>6398997097.8400002</v>
      </c>
      <c r="R38" s="11"/>
      <c r="S38" s="11">
        <v>6933075918.04</v>
      </c>
      <c r="T38" s="11"/>
      <c r="U38" s="11">
        <v>7036179065.1000004</v>
      </c>
      <c r="V38" s="11"/>
      <c r="W38" s="11">
        <v>8265448836.7399998</v>
      </c>
      <c r="X38" s="11"/>
      <c r="Y38" s="11">
        <v>8844226431.6700001</v>
      </c>
      <c r="Z38" s="11">
        <v>8844226431.6700001</v>
      </c>
      <c r="AA38" s="13">
        <f t="shared" si="0"/>
        <v>54899374204.080002</v>
      </c>
      <c r="AB38" s="11">
        <v>124366774519.25</v>
      </c>
      <c r="AC38" s="13">
        <f t="shared" si="1"/>
        <v>129785754.61957447</v>
      </c>
      <c r="AD38" s="13">
        <f t="shared" si="2"/>
        <v>294011287.27955085</v>
      </c>
    </row>
    <row r="39" spans="1:30" x14ac:dyDescent="0.3">
      <c r="AA39" s="13">
        <f>SUM(AA2:AA38)</f>
        <v>3403240943317.7603</v>
      </c>
      <c r="AC39" s="13">
        <f t="shared" si="1"/>
        <v>8045486863.6353674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DB5A-21C0-4DBA-BADB-D83EE6FFFFD8}">
  <dimension ref="A1:AD39"/>
  <sheetViews>
    <sheetView topLeftCell="T14" workbookViewId="0">
      <selection activeCell="AA40" sqref="AA40"/>
    </sheetView>
  </sheetViews>
  <sheetFormatPr defaultRowHeight="14.4" x14ac:dyDescent="0.3"/>
  <cols>
    <col min="3" max="26" width="17.21875" bestFit="1" customWidth="1"/>
    <col min="27" max="27" width="21.6640625" customWidth="1"/>
    <col min="28" max="28" width="18.21875" bestFit="1" customWidth="1"/>
    <col min="29" max="29" width="14.6640625" bestFit="1" customWidth="1"/>
    <col min="30" max="30" width="15.88671875" customWidth="1"/>
  </cols>
  <sheetData>
    <row r="1" spans="1:30" x14ac:dyDescent="0.3">
      <c r="A1" t="s">
        <v>68</v>
      </c>
      <c r="B1" t="s">
        <v>1</v>
      </c>
      <c r="C1" t="s">
        <v>129</v>
      </c>
      <c r="D1" t="s">
        <v>130</v>
      </c>
      <c r="E1" t="s">
        <v>131</v>
      </c>
      <c r="F1" t="s">
        <v>72</v>
      </c>
      <c r="G1" t="s">
        <v>132</v>
      </c>
      <c r="H1" t="s">
        <v>133</v>
      </c>
      <c r="I1" t="s">
        <v>134</v>
      </c>
      <c r="J1" t="s">
        <v>76</v>
      </c>
      <c r="K1" t="s">
        <v>135</v>
      </c>
      <c r="L1" t="s">
        <v>78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84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90</v>
      </c>
      <c r="Y1" t="s">
        <v>146</v>
      </c>
      <c r="Z1" t="s">
        <v>147</v>
      </c>
      <c r="AA1" t="s">
        <v>66</v>
      </c>
      <c r="AB1" t="s">
        <v>67</v>
      </c>
      <c r="AC1" t="s">
        <v>185</v>
      </c>
      <c r="AD1" t="s">
        <v>186</v>
      </c>
    </row>
    <row r="2" spans="1:30" x14ac:dyDescent="0.3">
      <c r="A2">
        <v>1</v>
      </c>
      <c r="B2" t="s">
        <v>93</v>
      </c>
      <c r="C2" s="11">
        <v>7402240871.4499998</v>
      </c>
      <c r="D2" s="11">
        <v>6384196395.1800003</v>
      </c>
      <c r="E2" s="11">
        <v>5922615472.3500004</v>
      </c>
      <c r="F2" s="11">
        <v>4665937338.5900002</v>
      </c>
      <c r="G2" s="11">
        <v>5869522840.6000004</v>
      </c>
      <c r="H2" s="11">
        <v>4612846706.8400002</v>
      </c>
      <c r="I2" s="11">
        <v>5725079147.9899998</v>
      </c>
      <c r="J2" s="11">
        <v>4468401014.2299995</v>
      </c>
      <c r="K2" s="11">
        <v>6342684719.0200005</v>
      </c>
      <c r="L2" s="11">
        <v>5349535146.1899996</v>
      </c>
      <c r="M2" s="11">
        <v>7457888164.5799999</v>
      </c>
      <c r="N2" s="11">
        <v>6464635088.0799999</v>
      </c>
      <c r="O2" s="11">
        <v>7589623583.6300001</v>
      </c>
      <c r="P2" s="11">
        <v>7197952467.1700001</v>
      </c>
      <c r="Q2" s="11">
        <v>8566087865.8800001</v>
      </c>
      <c r="R2" s="11">
        <v>8068702215.4399996</v>
      </c>
      <c r="S2" s="11">
        <v>7070619316.7600002</v>
      </c>
      <c r="T2" s="11">
        <v>6584852212.2399998</v>
      </c>
      <c r="U2" s="11">
        <v>7260573884.0900002</v>
      </c>
      <c r="V2" s="11">
        <v>6927291748.3900003</v>
      </c>
      <c r="W2" s="11">
        <v>8776436639.9599991</v>
      </c>
      <c r="X2" s="11">
        <v>8370924363.54</v>
      </c>
      <c r="Y2" s="11">
        <v>9191816723.7299995</v>
      </c>
      <c r="Z2" s="11">
        <v>8793169646.1499996</v>
      </c>
      <c r="AA2" s="13">
        <f>SUM(D2,F2,H2,J2,L2,N2,P2,R2,T2,V2,X2,Z2)</f>
        <v>77888444342.039993</v>
      </c>
      <c r="AB2" s="11">
        <v>23733850109.25</v>
      </c>
      <c r="AC2" s="13">
        <f>AA2/646</f>
        <v>120570347.27869968</v>
      </c>
      <c r="AD2" s="13">
        <f>AB2/646</f>
        <v>36739706.051470585</v>
      </c>
    </row>
    <row r="3" spans="1:30" x14ac:dyDescent="0.3">
      <c r="A3">
        <v>2</v>
      </c>
      <c r="B3" t="s">
        <v>94</v>
      </c>
      <c r="C3" s="11">
        <v>7351157377.5500002</v>
      </c>
      <c r="D3" s="11">
        <v>6163172589.7600002</v>
      </c>
      <c r="E3" s="11">
        <v>5980642795.7399998</v>
      </c>
      <c r="F3" s="11">
        <v>4964126515.9399996</v>
      </c>
      <c r="G3" s="11">
        <v>5767372481.1700001</v>
      </c>
      <c r="H3" s="11">
        <v>4750856201.3699999</v>
      </c>
      <c r="I3" s="11">
        <v>5636287002.0299997</v>
      </c>
      <c r="J3" s="11">
        <v>4619770722.2299995</v>
      </c>
      <c r="K3" s="11">
        <v>6304335366.6599998</v>
      </c>
      <c r="L3" s="11">
        <v>5383097231.6899996</v>
      </c>
      <c r="M3" s="11">
        <v>7340863647.04</v>
      </c>
      <c r="N3" s="11">
        <v>6419515401.9700003</v>
      </c>
      <c r="O3" s="11">
        <v>7738417557.8299999</v>
      </c>
      <c r="P3" s="11">
        <v>7314944709.75</v>
      </c>
      <c r="Q3" s="11">
        <v>9006417138.4200001</v>
      </c>
      <c r="R3" s="11">
        <v>8366588864.54</v>
      </c>
      <c r="S3" s="11">
        <v>6872010895.9499998</v>
      </c>
      <c r="T3" s="11">
        <v>6225811168.1499996</v>
      </c>
      <c r="U3" s="11">
        <v>7533255085.1700001</v>
      </c>
      <c r="V3" s="11">
        <v>7086342282.3100004</v>
      </c>
      <c r="W3" s="11">
        <v>8453671385.21</v>
      </c>
      <c r="X3" s="11">
        <v>7927271845.1800003</v>
      </c>
      <c r="Y3" s="11">
        <v>9253947755.0799999</v>
      </c>
      <c r="Z3" s="11">
        <v>8727976363.8299999</v>
      </c>
      <c r="AA3" s="13">
        <f t="shared" ref="AA3:AA38" si="0">SUM(D3,F3,H3,J3,L3,N3,P3,R3,T3,V3,X3,Z3)</f>
        <v>77949473896.720001</v>
      </c>
      <c r="AB3" s="11">
        <v>17066189975.839998</v>
      </c>
      <c r="AC3" s="13">
        <f t="shared" ref="AC3:AC39" si="1">AA3/646</f>
        <v>120664820.27356037</v>
      </c>
      <c r="AD3" s="13">
        <f t="shared" ref="AD3:AD38" si="2">AB3/646</f>
        <v>26418250.736594424</v>
      </c>
    </row>
    <row r="4" spans="1:30" x14ac:dyDescent="0.3">
      <c r="A4">
        <v>3</v>
      </c>
      <c r="B4" t="s">
        <v>95</v>
      </c>
      <c r="C4" s="11">
        <v>50303220508.279999</v>
      </c>
      <c r="D4" s="11">
        <v>48866316851.669998</v>
      </c>
      <c r="E4" s="11">
        <v>26429222413.619999</v>
      </c>
      <c r="F4" s="11">
        <v>24289555433.209999</v>
      </c>
      <c r="G4" s="11">
        <v>25703240651.080002</v>
      </c>
      <c r="H4" s="11">
        <v>24830814822.220001</v>
      </c>
      <c r="I4" s="11">
        <v>27204148854.540001</v>
      </c>
      <c r="J4" s="11">
        <v>24444708357.830002</v>
      </c>
      <c r="K4" s="11">
        <v>29733256881.389999</v>
      </c>
      <c r="L4" s="11">
        <v>27802880766.509998</v>
      </c>
      <c r="M4" s="11">
        <v>26267612630.75</v>
      </c>
      <c r="N4" s="11">
        <v>24337197226.59</v>
      </c>
      <c r="O4" s="11">
        <v>19601318351.279999</v>
      </c>
      <c r="P4" s="11">
        <v>18740212621.400002</v>
      </c>
      <c r="Q4" s="11">
        <v>17243531871.66</v>
      </c>
      <c r="R4" s="11">
        <v>15463191127.690001</v>
      </c>
      <c r="S4" s="11">
        <v>25588336973.049999</v>
      </c>
      <c r="T4" s="11">
        <v>23820508375.860001</v>
      </c>
      <c r="U4" s="11">
        <v>18671606292.389999</v>
      </c>
      <c r="V4" s="11">
        <v>17861838022.77</v>
      </c>
      <c r="W4" s="11">
        <v>24333439147.119999</v>
      </c>
      <c r="X4" s="11">
        <v>23446154066.18</v>
      </c>
      <c r="Y4" s="11">
        <v>21850605375.310001</v>
      </c>
      <c r="Z4" s="11">
        <v>20970729547.509998</v>
      </c>
      <c r="AA4" s="13">
        <f t="shared" si="0"/>
        <v>294874107219.43994</v>
      </c>
      <c r="AB4" s="11">
        <v>43184024626.770004</v>
      </c>
      <c r="AC4" s="13">
        <f t="shared" si="1"/>
        <v>456461466.28396279</v>
      </c>
      <c r="AD4" s="13">
        <f t="shared" si="2"/>
        <v>66848335.335557282</v>
      </c>
    </row>
    <row r="5" spans="1:30" x14ac:dyDescent="0.3">
      <c r="A5">
        <v>4</v>
      </c>
      <c r="B5" t="s">
        <v>96</v>
      </c>
      <c r="C5" s="11">
        <v>9271404792.9400005</v>
      </c>
      <c r="D5" s="11">
        <v>8753082547.3299999</v>
      </c>
      <c r="E5" s="11" t="s">
        <v>148</v>
      </c>
      <c r="F5" s="11">
        <v>6149710188.9700003</v>
      </c>
      <c r="G5" s="11">
        <v>6978663997.8699999</v>
      </c>
      <c r="H5" s="11">
        <v>4747145839.8000002</v>
      </c>
      <c r="I5" s="11">
        <v>7138736003.46</v>
      </c>
      <c r="J5" s="11">
        <v>6266310174.6000004</v>
      </c>
      <c r="K5" s="11">
        <v>7539058576.0200005</v>
      </c>
      <c r="L5" s="11">
        <v>7122818722.4700003</v>
      </c>
      <c r="M5" s="11">
        <v>8682389470.6399994</v>
      </c>
      <c r="N5" s="11">
        <v>8266039713.2600002</v>
      </c>
      <c r="O5" s="11">
        <v>8827165243.9799995</v>
      </c>
      <c r="P5" s="11">
        <v>8655806103.7700005</v>
      </c>
      <c r="Q5" s="11">
        <v>9633587526.5499992</v>
      </c>
      <c r="R5" s="11">
        <v>9400194973.4500008</v>
      </c>
      <c r="S5" s="11">
        <v>8212974158.8500004</v>
      </c>
      <c r="T5" s="11">
        <v>7973222087.9899998</v>
      </c>
      <c r="U5" s="11">
        <v>8315898329.9300003</v>
      </c>
      <c r="V5" s="11">
        <v>8144539189.7200003</v>
      </c>
      <c r="W5" s="11">
        <v>10099969246.6</v>
      </c>
      <c r="X5" s="11">
        <v>9865929366.75</v>
      </c>
      <c r="Y5" s="11">
        <v>10805692732.360001</v>
      </c>
      <c r="Z5" s="11">
        <v>10572075434.379999</v>
      </c>
      <c r="AA5" s="13">
        <f t="shared" si="0"/>
        <v>95916874342.48999</v>
      </c>
      <c r="AB5" s="11">
        <v>33461368560.43</v>
      </c>
      <c r="AC5" s="13">
        <f t="shared" si="1"/>
        <v>148478133.65710524</v>
      </c>
      <c r="AD5" s="13">
        <f t="shared" si="2"/>
        <v>51797784.149272449</v>
      </c>
    </row>
    <row r="6" spans="1:30" x14ac:dyDescent="0.3">
      <c r="A6">
        <v>5</v>
      </c>
      <c r="B6" t="s">
        <v>97</v>
      </c>
      <c r="C6" s="11">
        <v>8529604794.0500002</v>
      </c>
      <c r="D6" s="11">
        <v>6382324776.3400002</v>
      </c>
      <c r="E6" s="11">
        <v>6958392614.79</v>
      </c>
      <c r="F6" s="11">
        <v>4798018301.6599998</v>
      </c>
      <c r="G6" s="11">
        <v>6698694299.04</v>
      </c>
      <c r="H6" s="11">
        <v>4375025361.4499998</v>
      </c>
      <c r="I6" s="11">
        <v>6576203953.6599998</v>
      </c>
      <c r="J6" s="11">
        <v>4344685795.5900002</v>
      </c>
      <c r="K6" s="11">
        <v>7204802602.0900002</v>
      </c>
      <c r="L6" s="11">
        <v>5328042312.2600002</v>
      </c>
      <c r="M6" s="11">
        <v>8514646618.75</v>
      </c>
      <c r="N6" s="11">
        <v>6637754110.9399996</v>
      </c>
      <c r="O6" s="11">
        <v>9043536925.3199997</v>
      </c>
      <c r="P6" s="11">
        <v>7214442322.6300001</v>
      </c>
      <c r="Q6" s="11">
        <v>10191410148.940001</v>
      </c>
      <c r="R6" s="11">
        <v>8202021513.2799997</v>
      </c>
      <c r="S6" s="11">
        <v>8004828712.0600004</v>
      </c>
      <c r="T6" s="11">
        <v>6007789363.4700003</v>
      </c>
      <c r="U6" s="11">
        <v>8490913071.2799997</v>
      </c>
      <c r="V6" s="11">
        <v>6661818468.5900002</v>
      </c>
      <c r="W6" s="11">
        <v>9841785773.1900005</v>
      </c>
      <c r="X6" s="11">
        <v>7937284140.6599998</v>
      </c>
      <c r="Y6" s="11">
        <v>10860391221.030001</v>
      </c>
      <c r="Z6" s="11">
        <v>8956397968.6499996</v>
      </c>
      <c r="AA6" s="13">
        <f t="shared" si="0"/>
        <v>76845604435.520004</v>
      </c>
      <c r="AB6" s="11">
        <v>30584925750.609997</v>
      </c>
      <c r="AC6" s="13">
        <f t="shared" si="1"/>
        <v>118956044.01783283</v>
      </c>
      <c r="AD6" s="13">
        <f t="shared" si="2"/>
        <v>47345086.301253863</v>
      </c>
    </row>
    <row r="7" spans="1:30" x14ac:dyDescent="0.3">
      <c r="A7">
        <v>6</v>
      </c>
      <c r="B7" t="s">
        <v>98</v>
      </c>
      <c r="C7" s="11">
        <v>34984553748.080002</v>
      </c>
      <c r="D7" s="11">
        <v>33352248962.470001</v>
      </c>
      <c r="E7" s="11">
        <v>19769565604.23</v>
      </c>
      <c r="F7" s="11">
        <v>17445896666.639999</v>
      </c>
      <c r="G7" s="11">
        <v>17664105440.080002</v>
      </c>
      <c r="H7" s="11">
        <v>16876227631.799999</v>
      </c>
      <c r="I7" s="11">
        <v>21395979349.810001</v>
      </c>
      <c r="J7" s="11">
        <v>19072310412.220001</v>
      </c>
      <c r="K7" s="11">
        <v>23609289790.5</v>
      </c>
      <c r="L7" s="11">
        <v>22041620219.580002</v>
      </c>
      <c r="M7" s="11">
        <v>21222322226.799999</v>
      </c>
      <c r="N7" s="11">
        <v>19749954050.110001</v>
      </c>
      <c r="O7" s="11">
        <v>17092307192.33</v>
      </c>
      <c r="P7" s="11">
        <v>16603373080.83</v>
      </c>
      <c r="Q7" s="11">
        <v>15011577665.389999</v>
      </c>
      <c r="R7" s="11">
        <v>13721240086.309999</v>
      </c>
      <c r="S7" s="11">
        <v>21899486779.970001</v>
      </c>
      <c r="T7" s="11">
        <v>20620127914.23</v>
      </c>
      <c r="U7" s="11">
        <v>15936079387.09</v>
      </c>
      <c r="V7" s="11">
        <v>15459376702.73</v>
      </c>
      <c r="W7" s="11">
        <v>21280228392.389999</v>
      </c>
      <c r="X7" s="11">
        <v>20735273276.59</v>
      </c>
      <c r="Y7" s="11">
        <v>17752132674.110001</v>
      </c>
      <c r="Z7" s="11">
        <v>17213664691.080002</v>
      </c>
      <c r="AA7" s="13">
        <f t="shared" si="0"/>
        <v>232891313694.59003</v>
      </c>
      <c r="AB7" s="11">
        <v>19823620909.850002</v>
      </c>
      <c r="AC7" s="13">
        <f t="shared" si="1"/>
        <v>360512869.4962694</v>
      </c>
      <c r="AD7" s="13">
        <f t="shared" si="2"/>
        <v>30686719.674690407</v>
      </c>
    </row>
    <row r="8" spans="1:30" x14ac:dyDescent="0.3">
      <c r="A8">
        <v>7</v>
      </c>
      <c r="B8" t="s">
        <v>99</v>
      </c>
      <c r="C8" s="11">
        <v>8118998243.8400002</v>
      </c>
      <c r="D8" s="11">
        <v>7432895926.6599998</v>
      </c>
      <c r="E8" s="11">
        <v>6642712954.5699997</v>
      </c>
      <c r="F8" s="11">
        <v>5874835146.29</v>
      </c>
      <c r="G8" s="11">
        <v>6399209203.0100002</v>
      </c>
      <c r="H8" s="11">
        <v>5260500726.9399996</v>
      </c>
      <c r="I8" s="11">
        <v>6314720036.2200003</v>
      </c>
      <c r="J8" s="11">
        <v>5546842227.9399996</v>
      </c>
      <c r="K8" s="11">
        <v>6840067701.04</v>
      </c>
      <c r="L8" s="11">
        <v>6230272994.8299999</v>
      </c>
      <c r="M8" s="11">
        <v>8091026385.9399996</v>
      </c>
      <c r="N8" s="11">
        <v>7481107716.8299999</v>
      </c>
      <c r="O8" s="11">
        <v>8642583577.3799992</v>
      </c>
      <c r="P8" s="11">
        <v>8463394439.6899996</v>
      </c>
      <c r="Q8" s="11">
        <v>9686896850.2800007</v>
      </c>
      <c r="R8" s="11">
        <v>9287538113.9599991</v>
      </c>
      <c r="S8" s="11">
        <v>7606989023.46</v>
      </c>
      <c r="T8" s="11">
        <v>7221545433.8800001</v>
      </c>
      <c r="U8" s="11">
        <v>8250910908.1499996</v>
      </c>
      <c r="V8" s="11">
        <v>8087224689.4700003</v>
      </c>
      <c r="W8" s="11">
        <v>9528944476.6900005</v>
      </c>
      <c r="X8" s="11">
        <v>9278750616.3199997</v>
      </c>
      <c r="Y8" s="11">
        <v>10319038903.870001</v>
      </c>
      <c r="Z8" s="11">
        <v>10077067264.26</v>
      </c>
      <c r="AA8" s="13">
        <f t="shared" si="0"/>
        <v>90241975297.069992</v>
      </c>
      <c r="AB8" s="11">
        <v>19116355922.459999</v>
      </c>
      <c r="AC8" s="13">
        <f t="shared" si="1"/>
        <v>139693460.21218264</v>
      </c>
      <c r="AD8" s="13">
        <f t="shared" si="2"/>
        <v>29591882.232910216</v>
      </c>
    </row>
    <row r="9" spans="1:30" x14ac:dyDescent="0.3">
      <c r="A9">
        <v>8</v>
      </c>
      <c r="B9" t="s">
        <v>100</v>
      </c>
      <c r="C9" s="11">
        <v>8750394489.4899998</v>
      </c>
      <c r="D9" s="11">
        <v>8102003957.4099998</v>
      </c>
      <c r="E9" s="11">
        <v>7000337973.9399996</v>
      </c>
      <c r="F9" s="11">
        <v>5861629497.8699999</v>
      </c>
      <c r="G9" s="11">
        <v>7326842125.7600002</v>
      </c>
      <c r="H9" s="11">
        <v>5532384529.8000002</v>
      </c>
      <c r="I9" s="11">
        <v>6686759167.3900003</v>
      </c>
      <c r="J9" s="11">
        <v>5548050691.3199997</v>
      </c>
      <c r="K9" s="11">
        <v>7240569660.7399998</v>
      </c>
      <c r="L9" s="11">
        <v>6605631175.4899998</v>
      </c>
      <c r="M9" s="11">
        <v>8867237475.1399994</v>
      </c>
      <c r="N9" s="11">
        <v>8232161656.75</v>
      </c>
      <c r="O9" s="11">
        <v>9147692738.1100006</v>
      </c>
      <c r="P9" s="11">
        <v>8990733435.8700008</v>
      </c>
      <c r="Q9" s="11">
        <v>10421555275.780001</v>
      </c>
      <c r="R9" s="11">
        <v>10187080536.07</v>
      </c>
      <c r="S9" s="11">
        <v>8159135684.2200003</v>
      </c>
      <c r="T9" s="11">
        <v>7916714246.46</v>
      </c>
      <c r="U9" s="11">
        <v>8671933335.0100002</v>
      </c>
      <c r="V9" s="11">
        <v>8514974032.7700005</v>
      </c>
      <c r="W9" s="11">
        <v>10019200653.110001</v>
      </c>
      <c r="X9" s="11">
        <v>9783917029.7000008</v>
      </c>
      <c r="Y9" s="11">
        <v>10886773341.030001</v>
      </c>
      <c r="Z9" s="11">
        <v>10652017765.610001</v>
      </c>
      <c r="AA9" s="13">
        <f t="shared" si="0"/>
        <v>95927298555.119995</v>
      </c>
      <c r="AB9" s="11">
        <v>19454028414.289997</v>
      </c>
      <c r="AC9" s="13">
        <f t="shared" si="1"/>
        <v>148494270.20916408</v>
      </c>
      <c r="AD9" s="13">
        <f t="shared" si="2"/>
        <v>30114595.068560366</v>
      </c>
    </row>
    <row r="10" spans="1:30" x14ac:dyDescent="0.3">
      <c r="A10">
        <v>9</v>
      </c>
      <c r="B10" t="s">
        <v>101</v>
      </c>
      <c r="C10" s="11">
        <v>7181727716.7799997</v>
      </c>
      <c r="D10" s="11">
        <v>5854444403.9899998</v>
      </c>
      <c r="E10" s="11">
        <v>5854475829.5500002</v>
      </c>
      <c r="F10" s="11">
        <v>3729661388.54</v>
      </c>
      <c r="G10" s="11">
        <v>5673641865.8900003</v>
      </c>
      <c r="H10" s="11">
        <v>4582561646.4499998</v>
      </c>
      <c r="I10" s="11">
        <v>5503938577.7600002</v>
      </c>
      <c r="J10" s="11">
        <v>3411110981.1799998</v>
      </c>
      <c r="K10" s="11">
        <v>6121702748.6199999</v>
      </c>
      <c r="L10" s="11">
        <v>4384167256.1300001</v>
      </c>
      <c r="M10" s="11">
        <v>7187977676.3599997</v>
      </c>
      <c r="N10" s="11">
        <v>5450331031.5699997</v>
      </c>
      <c r="O10" s="11">
        <v>7627937449.6000004</v>
      </c>
      <c r="P10" s="11">
        <v>6549123158.8400002</v>
      </c>
      <c r="Q10" s="11">
        <v>8609156795.4500008</v>
      </c>
      <c r="R10" s="11">
        <v>7016884190.75</v>
      </c>
      <c r="S10" s="11">
        <v>6736723017.6199999</v>
      </c>
      <c r="T10" s="11">
        <v>5188914378.4700003</v>
      </c>
      <c r="U10" s="11">
        <v>7136358668.8199997</v>
      </c>
      <c r="V10" s="11">
        <v>6103432031.9200001</v>
      </c>
      <c r="W10" s="11">
        <v>8277120343.4300003</v>
      </c>
      <c r="X10" s="11">
        <v>7166625959.46</v>
      </c>
      <c r="Y10" s="11">
        <v>9074139009.0599995</v>
      </c>
      <c r="Z10" s="11">
        <v>7971017143.0100002</v>
      </c>
      <c r="AA10" s="13">
        <f t="shared" si="0"/>
        <v>67408273570.309998</v>
      </c>
      <c r="AB10" s="11">
        <v>31560579757.549995</v>
      </c>
      <c r="AC10" s="13">
        <f t="shared" si="1"/>
        <v>104347172.7094582</v>
      </c>
      <c r="AD10" s="13">
        <f t="shared" si="2"/>
        <v>48855386.621594422</v>
      </c>
    </row>
    <row r="11" spans="1:30" x14ac:dyDescent="0.3">
      <c r="A11">
        <v>10</v>
      </c>
      <c r="B11" t="s">
        <v>102</v>
      </c>
      <c r="C11" s="11">
        <v>47947973516.959999</v>
      </c>
      <c r="D11" s="11">
        <v>46197801722.110001</v>
      </c>
      <c r="E11" s="11">
        <v>31158511330.119999</v>
      </c>
      <c r="F11" s="11">
        <v>29430720400.830002</v>
      </c>
      <c r="G11" s="11">
        <v>37043454316.419998</v>
      </c>
      <c r="H11" s="11">
        <v>35417533189.75</v>
      </c>
      <c r="I11" s="11">
        <v>42328098188.010002</v>
      </c>
      <c r="J11" s="11">
        <v>39026637898.610001</v>
      </c>
      <c r="K11" s="11">
        <v>44770283521.650002</v>
      </c>
      <c r="L11" s="11">
        <v>5003091729.0799999</v>
      </c>
      <c r="M11" s="11">
        <v>41368590035.769997</v>
      </c>
      <c r="N11" s="11">
        <v>38820518860.290001</v>
      </c>
      <c r="O11" s="11">
        <v>27714091740.790001</v>
      </c>
      <c r="P11" s="11">
        <v>26402153553.830002</v>
      </c>
      <c r="Q11" s="11">
        <v>24312808686.110001</v>
      </c>
      <c r="R11" s="11">
        <v>22011801464.240002</v>
      </c>
      <c r="S11" s="11">
        <v>33652148851.139999</v>
      </c>
      <c r="T11" s="11">
        <v>31363740043.130001</v>
      </c>
      <c r="U11" s="11">
        <v>24305821938.080002</v>
      </c>
      <c r="V11" s="11">
        <v>23007919692.93</v>
      </c>
      <c r="W11" s="11">
        <v>36139111081.040001</v>
      </c>
      <c r="X11" s="11">
        <v>34762887055.120003</v>
      </c>
      <c r="Y11" s="11">
        <v>31741814891.529999</v>
      </c>
      <c r="Z11" s="11">
        <v>30373035051.560001</v>
      </c>
      <c r="AA11" s="13">
        <f t="shared" si="0"/>
        <v>361817840661.47998</v>
      </c>
      <c r="AB11" s="11">
        <v>114088309224.99002</v>
      </c>
      <c r="AC11" s="13">
        <f t="shared" si="1"/>
        <v>560089536.62767804</v>
      </c>
      <c r="AD11" s="13">
        <f t="shared" si="2"/>
        <v>176607289.82196596</v>
      </c>
    </row>
    <row r="12" spans="1:30" x14ac:dyDescent="0.3">
      <c r="A12">
        <v>11</v>
      </c>
      <c r="B12" t="s">
        <v>103</v>
      </c>
      <c r="C12" s="11">
        <v>6549628514.4300003</v>
      </c>
      <c r="D12" s="11">
        <v>5789709708.5699997</v>
      </c>
      <c r="E12" s="11">
        <v>5371612383.8599997</v>
      </c>
      <c r="F12" s="11">
        <v>4279313531.04</v>
      </c>
      <c r="G12" s="11">
        <v>5255438193.3400002</v>
      </c>
      <c r="H12" s="11">
        <v>3829837481.6799998</v>
      </c>
      <c r="I12" s="11">
        <v>5095112437.3800001</v>
      </c>
      <c r="J12" s="11">
        <v>3996402719.29</v>
      </c>
      <c r="K12" s="11">
        <v>5732845105.71</v>
      </c>
      <c r="L12" s="11">
        <v>3244620061.2399998</v>
      </c>
      <c r="M12" s="11">
        <v>6545548028.25</v>
      </c>
      <c r="N12" s="11">
        <v>5880219277.6000004</v>
      </c>
      <c r="O12" s="11">
        <v>6877144295.3100004</v>
      </c>
      <c r="P12" s="11">
        <v>6274056078.2299995</v>
      </c>
      <c r="Q12" s="11">
        <v>8013195533.3599997</v>
      </c>
      <c r="R12" s="11">
        <v>7356505711.25</v>
      </c>
      <c r="S12" s="11">
        <v>6158943018.9200001</v>
      </c>
      <c r="T12" s="11">
        <v>5494541782.6899996</v>
      </c>
      <c r="U12" s="11">
        <v>6598763300.71</v>
      </c>
      <c r="V12" s="11">
        <v>6001213597.8000002</v>
      </c>
      <c r="W12" s="11">
        <v>7699198575.46</v>
      </c>
      <c r="X12" s="11">
        <v>7042113173.6199999</v>
      </c>
      <c r="Y12" s="11">
        <v>8421212427.1199999</v>
      </c>
      <c r="Z12" s="11">
        <v>7764782709</v>
      </c>
      <c r="AA12" s="13">
        <f t="shared" si="0"/>
        <v>66953315832.010002</v>
      </c>
      <c r="AB12" s="11">
        <v>30840470281.400002</v>
      </c>
      <c r="AC12" s="13">
        <f t="shared" si="1"/>
        <v>103642903.76472136</v>
      </c>
      <c r="AD12" s="13">
        <f t="shared" si="2"/>
        <v>47740666.070278637</v>
      </c>
    </row>
    <row r="13" spans="1:30" x14ac:dyDescent="0.3">
      <c r="A13">
        <v>12</v>
      </c>
      <c r="B13" t="s">
        <v>104</v>
      </c>
      <c r="C13" s="11">
        <v>12287633858.51</v>
      </c>
      <c r="D13" s="11">
        <v>11071020856.73</v>
      </c>
      <c r="E13" s="11">
        <v>8424191638.8199997</v>
      </c>
      <c r="F13" s="11">
        <v>6798270512.1499996</v>
      </c>
      <c r="G13" s="11">
        <v>8098529433.3699999</v>
      </c>
      <c r="H13" s="11">
        <v>7399862721.71</v>
      </c>
      <c r="I13" s="11">
        <v>8666042716.1399994</v>
      </c>
      <c r="J13" s="11">
        <v>7040121589.4700003</v>
      </c>
      <c r="K13" s="11">
        <v>9899190799.6100006</v>
      </c>
      <c r="L13" s="11">
        <v>8656066075.1000004</v>
      </c>
      <c r="M13" s="11">
        <v>10146900777.77</v>
      </c>
      <c r="N13" s="11">
        <v>8903672697.7199993</v>
      </c>
      <c r="O13" s="11">
        <v>9667556961.3099995</v>
      </c>
      <c r="P13" s="11">
        <v>8911227099.6800003</v>
      </c>
      <c r="Q13" s="11">
        <v>10325850688.360001</v>
      </c>
      <c r="R13" s="11">
        <v>9348531228.8099995</v>
      </c>
      <c r="S13" s="11">
        <v>10229061832.15</v>
      </c>
      <c r="T13" s="11">
        <v>9263344290.0400009</v>
      </c>
      <c r="U13" s="11">
        <v>9004282420.4899998</v>
      </c>
      <c r="V13" s="11">
        <v>8260898300.1300001</v>
      </c>
      <c r="W13" s="11">
        <v>10774124164.23</v>
      </c>
      <c r="X13" s="11">
        <v>9958613279.0300007</v>
      </c>
      <c r="Y13" s="11">
        <v>11108146484.459999</v>
      </c>
      <c r="Z13" s="11">
        <v>10299490972.620001</v>
      </c>
      <c r="AA13" s="13">
        <f t="shared" si="0"/>
        <v>105911119623.19</v>
      </c>
      <c r="AB13" s="11">
        <v>64671497361.769997</v>
      </c>
      <c r="AC13" s="13">
        <f t="shared" si="1"/>
        <v>163949101.58388546</v>
      </c>
      <c r="AD13" s="13">
        <f t="shared" si="2"/>
        <v>100110677.03060371</v>
      </c>
    </row>
    <row r="14" spans="1:30" x14ac:dyDescent="0.3">
      <c r="A14">
        <v>13</v>
      </c>
      <c r="B14" t="s">
        <v>105</v>
      </c>
      <c r="C14" s="11">
        <v>6519254321.3900003</v>
      </c>
      <c r="D14" s="11">
        <v>5174161586.1999998</v>
      </c>
      <c r="E14" s="11">
        <v>5354074730.2799997</v>
      </c>
      <c r="F14" s="11">
        <v>3928474409.8800001</v>
      </c>
      <c r="G14" s="11">
        <v>5249512373.6499996</v>
      </c>
      <c r="H14" s="11">
        <v>3604407627.6700001</v>
      </c>
      <c r="I14" s="11">
        <v>5119643090.3400002</v>
      </c>
      <c r="J14" s="11">
        <v>3694042769.9400001</v>
      </c>
      <c r="K14" s="11">
        <v>5657805060.75</v>
      </c>
      <c r="L14" s="11">
        <v>4334991354.4099998</v>
      </c>
      <c r="M14" s="11">
        <v>6557646723.6800003</v>
      </c>
      <c r="N14" s="11">
        <v>5234734183.5</v>
      </c>
      <c r="O14" s="11">
        <v>7024911074.6899996</v>
      </c>
      <c r="P14" s="11">
        <v>6281537300.5</v>
      </c>
      <c r="Q14" s="11">
        <v>7855819008.2700005</v>
      </c>
      <c r="R14" s="11">
        <v>6808506437.04</v>
      </c>
      <c r="S14" s="11">
        <v>6250562437.7600002</v>
      </c>
      <c r="T14" s="11">
        <v>5197530906.29</v>
      </c>
      <c r="U14" s="11">
        <v>6610966305.2700005</v>
      </c>
      <c r="V14" s="11">
        <v>5867592531.0799999</v>
      </c>
      <c r="W14" s="11">
        <v>7633294263.6400003</v>
      </c>
      <c r="X14" s="11">
        <v>6833553218.9200001</v>
      </c>
      <c r="Y14" s="11">
        <v>8386709053.4200001</v>
      </c>
      <c r="Z14" s="11">
        <v>7587348026.3500004</v>
      </c>
      <c r="AA14" s="13">
        <f t="shared" si="0"/>
        <v>64546880351.779999</v>
      </c>
      <c r="AB14" s="11">
        <v>32096050316.099998</v>
      </c>
      <c r="AC14" s="13">
        <f t="shared" si="1"/>
        <v>99917771.4423839</v>
      </c>
      <c r="AD14" s="13">
        <f t="shared" si="2"/>
        <v>49684288.415015474</v>
      </c>
    </row>
    <row r="15" spans="1:30" x14ac:dyDescent="0.3">
      <c r="A15">
        <v>14</v>
      </c>
      <c r="B15" t="s">
        <v>106</v>
      </c>
      <c r="C15" s="11">
        <v>7509315878.7600002</v>
      </c>
      <c r="D15" s="11">
        <v>6716076299.5699997</v>
      </c>
      <c r="E15" s="11">
        <v>6050669863.7299995</v>
      </c>
      <c r="F15" s="11">
        <v>5352003152.0699997</v>
      </c>
      <c r="G15" s="11">
        <v>5899216516.7600002</v>
      </c>
      <c r="H15" s="11">
        <v>3469328759.9299998</v>
      </c>
      <c r="I15" s="11">
        <v>5698219344.6599998</v>
      </c>
      <c r="J15" s="11">
        <v>4999552633</v>
      </c>
      <c r="K15" s="11">
        <v>6267002813.2299995</v>
      </c>
      <c r="L15" s="11">
        <v>5642296694.4300003</v>
      </c>
      <c r="M15" s="11">
        <v>7366923384.1999998</v>
      </c>
      <c r="N15" s="11">
        <v>6742106103.5100002</v>
      </c>
      <c r="O15" s="11">
        <v>7841794570.8299999</v>
      </c>
      <c r="P15" s="11">
        <v>7578464948.6700001</v>
      </c>
      <c r="Q15" s="11">
        <v>8839992478.0100002</v>
      </c>
      <c r="R15" s="11">
        <v>8435275034.2600002</v>
      </c>
      <c r="S15" s="11">
        <v>6942762639.9499998</v>
      </c>
      <c r="T15" s="11">
        <v>6558363190.29</v>
      </c>
      <c r="U15" s="11">
        <v>7414240323.1199999</v>
      </c>
      <c r="V15" s="11">
        <v>7177661010.1999998</v>
      </c>
      <c r="W15" s="11">
        <v>8510759400.9499998</v>
      </c>
      <c r="X15" s="11">
        <v>8210781842.0799999</v>
      </c>
      <c r="Y15" s="11">
        <v>10143076485.530001</v>
      </c>
      <c r="Z15" s="11">
        <v>9843526345.8299999</v>
      </c>
      <c r="AA15" s="13">
        <f t="shared" si="0"/>
        <v>80725436013.839996</v>
      </c>
      <c r="AB15" s="11">
        <v>33862940857.739998</v>
      </c>
      <c r="AC15" s="13">
        <f t="shared" si="1"/>
        <v>124961975.25362228</v>
      </c>
      <c r="AD15" s="13">
        <f t="shared" si="2"/>
        <v>52419413.092476778</v>
      </c>
    </row>
    <row r="16" spans="1:30" x14ac:dyDescent="0.3">
      <c r="A16">
        <v>15</v>
      </c>
      <c r="B16" t="s">
        <v>107</v>
      </c>
      <c r="C16" s="11">
        <v>6804846840.3299999</v>
      </c>
      <c r="D16" s="11">
        <v>5189750126.3699999</v>
      </c>
      <c r="E16" s="11">
        <v>5546187046.2600002</v>
      </c>
      <c r="F16" s="11">
        <v>3901082300.2800002</v>
      </c>
      <c r="G16" s="11">
        <v>5319648989.2399998</v>
      </c>
      <c r="H16" s="11">
        <v>3674544243.2600002</v>
      </c>
      <c r="I16" s="11">
        <v>5188372727.6300001</v>
      </c>
      <c r="J16" s="11">
        <v>3543267981.6500001</v>
      </c>
      <c r="K16" s="11">
        <v>5715433589.8599997</v>
      </c>
      <c r="L16" s="11">
        <v>4170534890.7800002</v>
      </c>
      <c r="M16" s="11">
        <v>6718097284.1999998</v>
      </c>
      <c r="N16" s="11">
        <v>5173094469.8000002</v>
      </c>
      <c r="O16" s="11">
        <v>7278913979.4399996</v>
      </c>
      <c r="P16" s="11">
        <v>5904310613.1099997</v>
      </c>
      <c r="Q16" s="11">
        <v>8335809887.4499998</v>
      </c>
      <c r="R16" s="11">
        <v>6902440333.8400002</v>
      </c>
      <c r="S16" s="11">
        <v>6446752952.8699999</v>
      </c>
      <c r="T16" s="11">
        <v>5267724271.4799995</v>
      </c>
      <c r="U16" s="11">
        <v>6831599777.3999996</v>
      </c>
      <c r="V16" s="11">
        <v>5717361852.8500004</v>
      </c>
      <c r="W16" s="11">
        <v>7927312126.6700001</v>
      </c>
      <c r="X16" s="11">
        <v>6753694782.0200005</v>
      </c>
      <c r="Y16" s="11">
        <v>8692117525.1399994</v>
      </c>
      <c r="Z16" s="11">
        <v>7518900505.4799995</v>
      </c>
      <c r="AA16" s="13">
        <f t="shared" si="0"/>
        <v>63716706370.919983</v>
      </c>
      <c r="AB16" s="11">
        <v>15179050180.250002</v>
      </c>
      <c r="AC16" s="13">
        <f t="shared" si="1"/>
        <v>98632672.400804922</v>
      </c>
      <c r="AD16" s="13">
        <f t="shared" si="2"/>
        <v>23496981.703173377</v>
      </c>
    </row>
    <row r="17" spans="1:30" x14ac:dyDescent="0.3">
      <c r="A17">
        <v>16</v>
      </c>
      <c r="B17" t="s">
        <v>108</v>
      </c>
      <c r="C17" s="11">
        <v>9456274001.2700005</v>
      </c>
      <c r="D17" s="11">
        <v>7542221103.6499996</v>
      </c>
      <c r="E17" s="11">
        <v>7225677862.0100002</v>
      </c>
      <c r="F17" s="11">
        <v>4795790105.1800003</v>
      </c>
      <c r="G17" s="11">
        <v>7022426095.5</v>
      </c>
      <c r="H17" s="11">
        <v>4592538338.6700001</v>
      </c>
      <c r="I17" s="11">
        <v>6999705752.1199999</v>
      </c>
      <c r="J17" s="11">
        <v>4569817995.29</v>
      </c>
      <c r="K17" s="11">
        <v>7783332987.3100004</v>
      </c>
      <c r="L17" s="11">
        <v>5928146949.3599997</v>
      </c>
      <c r="M17" s="11">
        <v>8591376940.3199997</v>
      </c>
      <c r="N17" s="11">
        <v>6736075977.3299999</v>
      </c>
      <c r="O17" s="11">
        <v>8779827447.5100002</v>
      </c>
      <c r="P17" s="11">
        <v>7407071875.71</v>
      </c>
      <c r="Q17" s="11">
        <v>9636649066.9400005</v>
      </c>
      <c r="R17" s="11">
        <v>7703933310.0299997</v>
      </c>
      <c r="S17" s="11">
        <v>8238539568.6999998</v>
      </c>
      <c r="T17" s="11">
        <v>6318724434.4499998</v>
      </c>
      <c r="U17" s="11">
        <v>8414151987.3299999</v>
      </c>
      <c r="V17" s="11">
        <v>7055769049.3299999</v>
      </c>
      <c r="W17" s="11">
        <v>10008679528.389999</v>
      </c>
      <c r="X17" s="11">
        <v>8570096038.8900003</v>
      </c>
      <c r="Y17" s="11">
        <v>10807817625.299999</v>
      </c>
      <c r="Z17" s="11">
        <v>9376856891.7299995</v>
      </c>
      <c r="AA17" s="13">
        <f t="shared" si="0"/>
        <v>80597042069.619995</v>
      </c>
      <c r="AB17" s="11">
        <v>21051313291.219994</v>
      </c>
      <c r="AC17" s="13">
        <f t="shared" si="1"/>
        <v>124763223.01798761</v>
      </c>
      <c r="AD17" s="13">
        <f t="shared" si="2"/>
        <v>32587172.277430329</v>
      </c>
    </row>
    <row r="18" spans="1:30" x14ac:dyDescent="0.3">
      <c r="A18">
        <v>17</v>
      </c>
      <c r="B18" t="s">
        <v>109</v>
      </c>
      <c r="C18" s="11">
        <v>8326609612.79</v>
      </c>
      <c r="D18" s="11">
        <v>7917500207.8199997</v>
      </c>
      <c r="E18" s="11">
        <v>6805504832.3000002</v>
      </c>
      <c r="F18" s="11">
        <v>6420406632.8900003</v>
      </c>
      <c r="G18" s="11">
        <v>6482265874.54</v>
      </c>
      <c r="H18" s="11">
        <v>6097167675.1300001</v>
      </c>
      <c r="I18" s="11">
        <v>6371734222.7700005</v>
      </c>
      <c r="J18" s="11">
        <v>5986636023.3599997</v>
      </c>
      <c r="K18" s="11">
        <v>6920788053.6300001</v>
      </c>
      <c r="L18" s="11">
        <v>6535689854.2200003</v>
      </c>
      <c r="M18" s="11">
        <v>8333426607</v>
      </c>
      <c r="N18" s="11">
        <v>7948204795.0500002</v>
      </c>
      <c r="O18" s="11">
        <v>8711327615.1000004</v>
      </c>
      <c r="P18" s="11">
        <v>8571110129.0299997</v>
      </c>
      <c r="Q18" s="11">
        <v>9721119515.5599995</v>
      </c>
      <c r="R18" s="11">
        <v>9511130961.1100006</v>
      </c>
      <c r="S18" s="11">
        <v>7817229527.3500004</v>
      </c>
      <c r="T18" s="11">
        <v>7600088209.1300001</v>
      </c>
      <c r="U18" s="11">
        <v>8122612701.2700005</v>
      </c>
      <c r="V18" s="11">
        <v>7982395215.1800003</v>
      </c>
      <c r="W18" s="11">
        <v>9448284189.4200001</v>
      </c>
      <c r="X18" s="11">
        <v>9237567564.7700005</v>
      </c>
      <c r="Y18" s="11">
        <v>10456073628.629999</v>
      </c>
      <c r="Z18" s="11">
        <v>10245832296.049999</v>
      </c>
      <c r="AA18" s="13">
        <f t="shared" si="0"/>
        <v>94053729563.740005</v>
      </c>
      <c r="AB18" s="11">
        <v>27536191163.830002</v>
      </c>
      <c r="AC18" s="13">
        <f t="shared" si="1"/>
        <v>145594008.61260062</v>
      </c>
      <c r="AD18" s="13">
        <f t="shared" si="2"/>
        <v>42625682.916145511</v>
      </c>
    </row>
    <row r="19" spans="1:30" x14ac:dyDescent="0.3">
      <c r="A19">
        <v>18</v>
      </c>
      <c r="B19" t="s">
        <v>110</v>
      </c>
      <c r="C19" s="11">
        <v>9784500977.4899998</v>
      </c>
      <c r="D19" s="11">
        <v>6722820909.3999996</v>
      </c>
      <c r="E19" s="11">
        <v>7865028086.6199999</v>
      </c>
      <c r="F19" s="11">
        <v>5133481769.7700005</v>
      </c>
      <c r="G19" s="11">
        <v>7977335809.6300001</v>
      </c>
      <c r="H19" s="11">
        <v>5245789492.7799997</v>
      </c>
      <c r="I19" s="11">
        <v>7570838896.5799999</v>
      </c>
      <c r="J19" s="11">
        <v>4839292579.7299995</v>
      </c>
      <c r="K19" s="11">
        <v>8116924102.9300003</v>
      </c>
      <c r="L19" s="11">
        <v>5833014445.6700001</v>
      </c>
      <c r="M19" s="11">
        <v>9593488801.75</v>
      </c>
      <c r="N19" s="11">
        <v>7309434318.0299997</v>
      </c>
      <c r="O19" s="11">
        <v>10201823120.74</v>
      </c>
      <c r="P19" s="11">
        <v>8276076518</v>
      </c>
      <c r="Q19" s="11">
        <v>11474106847.57</v>
      </c>
      <c r="R19" s="11">
        <v>9466615323.1100006</v>
      </c>
      <c r="S19" s="11">
        <v>9131349300.8700008</v>
      </c>
      <c r="T19" s="11">
        <v>7115477481.7200003</v>
      </c>
      <c r="U19" s="11">
        <v>9503028671.3600006</v>
      </c>
      <c r="V19" s="11">
        <v>7577282068.6199999</v>
      </c>
      <c r="W19" s="11">
        <v>11066552190.280001</v>
      </c>
      <c r="X19" s="11">
        <v>9058207646.9099998</v>
      </c>
      <c r="Y19" s="11">
        <v>12255187354.6</v>
      </c>
      <c r="Z19" s="11">
        <v>10247399671.16</v>
      </c>
      <c r="AA19" s="13">
        <f t="shared" si="0"/>
        <v>86824892224.900009</v>
      </c>
      <c r="AB19" s="11">
        <v>62490117635.220001</v>
      </c>
      <c r="AC19" s="13">
        <f t="shared" si="1"/>
        <v>134403857.93328175</v>
      </c>
      <c r="AD19" s="13">
        <f t="shared" si="2"/>
        <v>96733928.227894738</v>
      </c>
    </row>
    <row r="20" spans="1:30" x14ac:dyDescent="0.3">
      <c r="A20">
        <v>19</v>
      </c>
      <c r="B20" t="s">
        <v>111</v>
      </c>
      <c r="C20" s="11">
        <v>12289359353.389999</v>
      </c>
      <c r="D20" s="11">
        <v>10792320836.09</v>
      </c>
      <c r="E20" s="11">
        <v>9932925504.2600002</v>
      </c>
      <c r="F20" s="11">
        <v>7711934358.5100002</v>
      </c>
      <c r="G20" s="11">
        <v>10152297030.07</v>
      </c>
      <c r="H20" s="11">
        <v>7935374377.4700003</v>
      </c>
      <c r="I20" s="11">
        <v>9412635090.4400005</v>
      </c>
      <c r="J20" s="11">
        <v>7192917917.29</v>
      </c>
      <c r="K20" s="11">
        <v>10206986969.65</v>
      </c>
      <c r="L20" s="11">
        <v>8809765423.8400002</v>
      </c>
      <c r="M20" s="11">
        <v>12077350918.82</v>
      </c>
      <c r="N20" s="11">
        <v>10690700619.799999</v>
      </c>
      <c r="O20" s="11">
        <v>12937718273.99</v>
      </c>
      <c r="P20" s="11">
        <v>11973813514.549999</v>
      </c>
      <c r="Q20" s="11">
        <v>14525049593.360001</v>
      </c>
      <c r="R20" s="11">
        <v>13462183505.530001</v>
      </c>
      <c r="S20" s="11">
        <v>11497919617.34</v>
      </c>
      <c r="T20" s="11">
        <v>10424908249.799999</v>
      </c>
      <c r="U20" s="11">
        <v>12150260814.719999</v>
      </c>
      <c r="V20" s="11">
        <v>11186356055.280001</v>
      </c>
      <c r="W20" s="11">
        <v>14379614444.98</v>
      </c>
      <c r="X20" s="11">
        <v>13315715682.790001</v>
      </c>
      <c r="Y20" s="11">
        <v>15655804729.77</v>
      </c>
      <c r="Z20" s="11">
        <v>14592580108.52</v>
      </c>
      <c r="AA20" s="13">
        <f t="shared" si="0"/>
        <v>128088570649.47002</v>
      </c>
      <c r="AB20" s="11">
        <v>37379619998.259995</v>
      </c>
      <c r="AC20" s="13">
        <f t="shared" si="1"/>
        <v>198279521.12921056</v>
      </c>
      <c r="AD20" s="13">
        <f t="shared" si="2"/>
        <v>57863188.851795658</v>
      </c>
    </row>
    <row r="21" spans="1:30" x14ac:dyDescent="0.3">
      <c r="A21">
        <v>20</v>
      </c>
      <c r="B21" t="s">
        <v>112</v>
      </c>
      <c r="C21" s="11">
        <v>9074258435.5900002</v>
      </c>
      <c r="D21" s="11">
        <v>7649974599.2799997</v>
      </c>
      <c r="E21" s="11">
        <v>7409775518.0500002</v>
      </c>
      <c r="F21" s="11">
        <v>5365415911.9700003</v>
      </c>
      <c r="G21" s="11">
        <v>7290152695.1999998</v>
      </c>
      <c r="H21" s="11">
        <v>5244556498.2700005</v>
      </c>
      <c r="I21" s="11">
        <v>6939055476.8000002</v>
      </c>
      <c r="J21" s="11">
        <v>4894124881.5299997</v>
      </c>
      <c r="K21" s="11">
        <v>7575291566.0200005</v>
      </c>
      <c r="L21" s="11">
        <v>6168285529.3100004</v>
      </c>
      <c r="M21" s="11">
        <v>9023036104.25</v>
      </c>
      <c r="N21" s="11">
        <v>7610961730.8199997</v>
      </c>
      <c r="O21" s="11">
        <v>9542092345.4300003</v>
      </c>
      <c r="P21" s="11">
        <v>8483290978.9499998</v>
      </c>
      <c r="Q21" s="11">
        <v>10891210935.73</v>
      </c>
      <c r="R21" s="11">
        <v>9755717356.1800003</v>
      </c>
      <c r="S21" s="11">
        <v>8550997614.7299995</v>
      </c>
      <c r="T21" s="11">
        <v>7407641732.1400003</v>
      </c>
      <c r="U21" s="11">
        <v>9058210034.8799992</v>
      </c>
      <c r="V21" s="11">
        <v>7999408668.3999996</v>
      </c>
      <c r="W21" s="11">
        <v>10513089597.889999</v>
      </c>
      <c r="X21" s="11">
        <v>9376795725.1000004</v>
      </c>
      <c r="Y21" s="11">
        <v>11727193771.65</v>
      </c>
      <c r="Z21" s="11">
        <v>10591422338.91</v>
      </c>
      <c r="AA21" s="13">
        <f t="shared" si="0"/>
        <v>90547595950.860001</v>
      </c>
      <c r="AB21" s="11">
        <v>26956610135.68</v>
      </c>
      <c r="AC21" s="13">
        <f t="shared" si="1"/>
        <v>140166557.19947368</v>
      </c>
      <c r="AD21" s="13">
        <f t="shared" si="2"/>
        <v>41728498.662043341</v>
      </c>
    </row>
    <row r="22" spans="1:30" x14ac:dyDescent="0.3">
      <c r="A22">
        <v>21</v>
      </c>
      <c r="B22" t="s">
        <v>113</v>
      </c>
      <c r="C22" s="11">
        <v>7492950581.1599998</v>
      </c>
      <c r="D22" s="11">
        <v>7046666695.96</v>
      </c>
      <c r="E22" s="11" t="s">
        <v>149</v>
      </c>
      <c r="F22" s="11">
        <v>5124364408.3999996</v>
      </c>
      <c r="G22" s="11">
        <v>5901806545.9499998</v>
      </c>
      <c r="H22" s="11">
        <v>4853620778.4399996</v>
      </c>
      <c r="I22" s="11">
        <v>5795382574.4899998</v>
      </c>
      <c r="J22" s="11">
        <v>4747254574.71</v>
      </c>
      <c r="K22" s="11">
        <v>6353663869.6000004</v>
      </c>
      <c r="L22" s="11">
        <v>5824399389.29</v>
      </c>
      <c r="M22" s="11">
        <v>7492586469.3500004</v>
      </c>
      <c r="N22" s="11">
        <v>6963234481.2600002</v>
      </c>
      <c r="O22" s="11">
        <v>7935987211.2200003</v>
      </c>
      <c r="P22" s="11">
        <v>7652944911.3000002</v>
      </c>
      <c r="Q22" s="11">
        <v>9048500922.9799995</v>
      </c>
      <c r="R22" s="11">
        <v>8689591400.9599991</v>
      </c>
      <c r="S22" s="11">
        <v>7070966132.3900003</v>
      </c>
      <c r="T22" s="11">
        <v>6721188480.4700003</v>
      </c>
      <c r="U22" s="11">
        <v>7503814407.54</v>
      </c>
      <c r="V22" s="11">
        <v>7231459133.5600004</v>
      </c>
      <c r="W22" s="11">
        <v>8810682154.3299999</v>
      </c>
      <c r="X22" s="11">
        <v>8494233919.46</v>
      </c>
      <c r="Y22" s="11">
        <v>9442369914.3500004</v>
      </c>
      <c r="Z22" s="11">
        <v>9133694070.3199997</v>
      </c>
      <c r="AA22" s="13">
        <f t="shared" si="0"/>
        <v>82482652244.130005</v>
      </c>
      <c r="AB22" s="11">
        <v>11737075709</v>
      </c>
      <c r="AC22" s="13">
        <f t="shared" si="1"/>
        <v>127682124.21691951</v>
      </c>
      <c r="AD22" s="13">
        <f t="shared" si="2"/>
        <v>18168847.846749227</v>
      </c>
    </row>
    <row r="23" spans="1:30" x14ac:dyDescent="0.3">
      <c r="A23">
        <v>22</v>
      </c>
      <c r="B23" t="s">
        <v>114</v>
      </c>
      <c r="C23" s="11">
        <v>7812300247.8000002</v>
      </c>
      <c r="D23" s="11">
        <v>6471776901.5200005</v>
      </c>
      <c r="E23" s="11">
        <v>6340712345.6899996</v>
      </c>
      <c r="F23" s="11">
        <v>4375333131.8500004</v>
      </c>
      <c r="G23" s="11">
        <v>6227276304.75</v>
      </c>
      <c r="H23" s="11">
        <v>4261897090.9099998</v>
      </c>
      <c r="I23" s="11">
        <v>5998439910.7399998</v>
      </c>
      <c r="J23" s="11">
        <v>4213005888.0700002</v>
      </c>
      <c r="K23" s="11">
        <v>6802148183.1499996</v>
      </c>
      <c r="L23" s="11">
        <v>5459941430.3699999</v>
      </c>
      <c r="M23" s="11">
        <v>7812823040.4200001</v>
      </c>
      <c r="N23" s="11">
        <v>6470494120.1800003</v>
      </c>
      <c r="O23" s="11">
        <v>8288788249.4200001</v>
      </c>
      <c r="P23" s="11">
        <v>7402584388.8900003</v>
      </c>
      <c r="Q23" s="11">
        <v>9328892499.5100002</v>
      </c>
      <c r="R23" s="11">
        <v>8356674977.1400003</v>
      </c>
      <c r="S23" s="11">
        <v>7528121334.1700001</v>
      </c>
      <c r="T23" s="11">
        <v>6012163664.2200003</v>
      </c>
      <c r="U23" s="11">
        <v>7749448664.2299995</v>
      </c>
      <c r="V23" s="11">
        <v>5792161253.2399998</v>
      </c>
      <c r="W23" s="11">
        <v>9106399720.1700001</v>
      </c>
      <c r="X23" s="11">
        <v>7063857625.0600004</v>
      </c>
      <c r="Y23" s="11">
        <v>9733587741.9099998</v>
      </c>
      <c r="Z23" s="11">
        <v>7754096229.1199999</v>
      </c>
      <c r="AA23" s="13">
        <f t="shared" si="0"/>
        <v>73633986700.569992</v>
      </c>
      <c r="AB23" s="11">
        <v>26780470381.059994</v>
      </c>
      <c r="AC23" s="13">
        <f t="shared" si="1"/>
        <v>113984499.53648606</v>
      </c>
      <c r="AD23" s="13">
        <f t="shared" si="2"/>
        <v>41455836.503188848</v>
      </c>
    </row>
    <row r="24" spans="1:30" x14ac:dyDescent="0.3">
      <c r="A24">
        <v>23</v>
      </c>
      <c r="B24" t="s">
        <v>115</v>
      </c>
      <c r="C24" s="11">
        <v>6609878642.2200003</v>
      </c>
      <c r="D24" s="11">
        <v>5341953880.5500002</v>
      </c>
      <c r="E24" s="11">
        <v>5522847228.21</v>
      </c>
      <c r="F24" s="11">
        <v>4156277940.75</v>
      </c>
      <c r="G24" s="11">
        <v>5316924161.3100004</v>
      </c>
      <c r="H24" s="11">
        <v>3950354873.8499999</v>
      </c>
      <c r="I24" s="11">
        <v>5158457404.9399996</v>
      </c>
      <c r="J24" s="11">
        <v>3791888117.48</v>
      </c>
      <c r="K24" s="11">
        <v>5563564358.6400003</v>
      </c>
      <c r="L24" s="11">
        <v>4321463604.3400002</v>
      </c>
      <c r="M24" s="11">
        <v>6561953911.4099998</v>
      </c>
      <c r="N24" s="11">
        <v>5319754763.8999996</v>
      </c>
      <c r="O24" s="11">
        <v>6987517284.3400002</v>
      </c>
      <c r="P24" s="11">
        <v>6257610959.71</v>
      </c>
      <c r="Q24" s="11">
        <v>7889366544.3000002</v>
      </c>
      <c r="R24" s="11">
        <v>6887385832.5</v>
      </c>
      <c r="S24" s="11">
        <v>6275492771.7200003</v>
      </c>
      <c r="T24" s="11">
        <v>5284556943.8800001</v>
      </c>
      <c r="U24" s="11">
        <v>6684962394.5299997</v>
      </c>
      <c r="V24" s="11">
        <v>5967361218.0200005</v>
      </c>
      <c r="W24" s="11">
        <v>7625269538.96</v>
      </c>
      <c r="X24" s="11">
        <v>6839004561.5900002</v>
      </c>
      <c r="Y24" s="11">
        <v>8511852029.1800003</v>
      </c>
      <c r="Z24" s="11">
        <v>7732113283.6899996</v>
      </c>
      <c r="AA24" s="13">
        <f t="shared" si="0"/>
        <v>65849725980.259995</v>
      </c>
      <c r="AB24" s="11">
        <v>59642678119.829994</v>
      </c>
      <c r="AC24" s="13">
        <f t="shared" si="1"/>
        <v>101934560.34095974</v>
      </c>
      <c r="AD24" s="13">
        <f t="shared" si="2"/>
        <v>92326127.120479867</v>
      </c>
    </row>
    <row r="25" spans="1:30" x14ac:dyDescent="0.3">
      <c r="A25">
        <v>24</v>
      </c>
      <c r="B25" t="s">
        <v>116</v>
      </c>
      <c r="C25" s="11">
        <v>22910608533.330002</v>
      </c>
      <c r="D25" s="11">
        <v>13403510414.77</v>
      </c>
      <c r="E25" s="11">
        <v>23433630690.77</v>
      </c>
      <c r="F25" s="11">
        <v>13531416636.99</v>
      </c>
      <c r="G25" s="11">
        <v>22294255488.799999</v>
      </c>
      <c r="H25" s="11">
        <v>12392041435.02</v>
      </c>
      <c r="I25" s="11">
        <v>18302388850.860001</v>
      </c>
      <c r="J25" s="11">
        <v>8400174797.0799999</v>
      </c>
      <c r="K25" s="11">
        <v>19386684367.360001</v>
      </c>
      <c r="L25" s="11">
        <v>10131145643.389999</v>
      </c>
      <c r="M25" s="11">
        <v>24226460487.599998</v>
      </c>
      <c r="N25" s="11">
        <v>14970773687.290001</v>
      </c>
      <c r="O25" s="11">
        <v>25688483660.290001</v>
      </c>
      <c r="P25" s="11">
        <v>14332944936.32</v>
      </c>
      <c r="Q25" s="11">
        <v>30077759234.34</v>
      </c>
      <c r="R25" s="11">
        <v>18638641248.639999</v>
      </c>
      <c r="S25" s="11">
        <v>25727350804.709999</v>
      </c>
      <c r="T25" s="11">
        <v>15329664472.139999</v>
      </c>
      <c r="U25" s="11">
        <v>29652744701.029999</v>
      </c>
      <c r="V25" s="11">
        <v>19347205977.060001</v>
      </c>
      <c r="W25" s="11">
        <v>30550153410.619999</v>
      </c>
      <c r="X25" s="11">
        <v>20160163264.419998</v>
      </c>
      <c r="Y25" s="11">
        <v>42028139677.580002</v>
      </c>
      <c r="Z25" s="11">
        <v>31638718887.150002</v>
      </c>
      <c r="AA25" s="13">
        <f t="shared" si="0"/>
        <v>192276401400.26999</v>
      </c>
      <c r="AB25" s="11">
        <v>815864679971.27002</v>
      </c>
      <c r="AC25" s="13">
        <f t="shared" si="1"/>
        <v>297641488.23571205</v>
      </c>
      <c r="AD25" s="13">
        <f t="shared" si="2"/>
        <v>1262948421.008158</v>
      </c>
    </row>
    <row r="26" spans="1:30" x14ac:dyDescent="0.3">
      <c r="A26">
        <v>25</v>
      </c>
      <c r="B26" t="s">
        <v>117</v>
      </c>
      <c r="C26" s="11">
        <v>6536975469.25</v>
      </c>
      <c r="D26" s="11">
        <v>6008615752.3800001</v>
      </c>
      <c r="E26" s="11" t="s">
        <v>150</v>
      </c>
      <c r="F26" s="11">
        <v>4580448094.0100002</v>
      </c>
      <c r="G26" s="11">
        <v>5135529813.3100004</v>
      </c>
      <c r="H26" s="11">
        <v>4344443068.6099997</v>
      </c>
      <c r="I26" s="11">
        <v>5032892061.9099998</v>
      </c>
      <c r="J26" s="11">
        <v>4241805317.21</v>
      </c>
      <c r="K26" s="11">
        <v>5571030398.9300003</v>
      </c>
      <c r="L26" s="11">
        <v>5091378430.9300003</v>
      </c>
      <c r="M26" s="11">
        <v>6516956186.0600004</v>
      </c>
      <c r="N26" s="11">
        <v>6037202282.4799995</v>
      </c>
      <c r="O26" s="11">
        <v>6909496772.75</v>
      </c>
      <c r="P26" s="11">
        <v>6709057039.1099997</v>
      </c>
      <c r="Q26" s="11">
        <v>7879354189.9399996</v>
      </c>
      <c r="R26" s="11">
        <v>7621378591.8299999</v>
      </c>
      <c r="S26" s="11">
        <v>6142791650.0299997</v>
      </c>
      <c r="T26" s="11">
        <v>5878917612.1199999</v>
      </c>
      <c r="U26" s="11">
        <v>6588202879.54</v>
      </c>
      <c r="V26" s="11">
        <v>6387763145.8999996</v>
      </c>
      <c r="W26" s="11">
        <v>7535196541.5500002</v>
      </c>
      <c r="X26" s="11">
        <v>7276620549.1999998</v>
      </c>
      <c r="Y26" s="11">
        <v>8295846522.8299999</v>
      </c>
      <c r="Z26" s="11">
        <v>8037662474.3100004</v>
      </c>
      <c r="AA26" s="13">
        <f t="shared" si="0"/>
        <v>72215292358.089996</v>
      </c>
      <c r="AB26" s="11">
        <v>23487435037.290001</v>
      </c>
      <c r="AC26" s="13">
        <f t="shared" si="1"/>
        <v>111788378.26329722</v>
      </c>
      <c r="AD26" s="13">
        <f t="shared" si="2"/>
        <v>36358258.571656346</v>
      </c>
    </row>
    <row r="27" spans="1:30" x14ac:dyDescent="0.3">
      <c r="A27">
        <v>26</v>
      </c>
      <c r="B27" t="s">
        <v>118</v>
      </c>
      <c r="C27" s="11">
        <v>8462051168.79</v>
      </c>
      <c r="D27" s="11">
        <v>7018198257.7799997</v>
      </c>
      <c r="E27" s="11">
        <v>6754987034.8400002</v>
      </c>
      <c r="F27" s="11">
        <v>4397259037.6800003</v>
      </c>
      <c r="G27" s="11">
        <v>6581614770.21</v>
      </c>
      <c r="H27" s="11">
        <v>4520743006.4700003</v>
      </c>
      <c r="I27" s="11">
        <v>6608551354.3400002</v>
      </c>
      <c r="J27" s="11">
        <v>4543894142.6499996</v>
      </c>
      <c r="K27" s="11">
        <v>7073376554.46</v>
      </c>
      <c r="L27" s="11">
        <v>5578776606.0500002</v>
      </c>
      <c r="M27" s="11">
        <v>8306002321.1800003</v>
      </c>
      <c r="N27" s="11">
        <v>6816916389.6199999</v>
      </c>
      <c r="O27" s="11">
        <v>8977426782.7199993</v>
      </c>
      <c r="P27" s="11">
        <v>7722199820.0299997</v>
      </c>
      <c r="Q27" s="11">
        <v>9979836640.9599991</v>
      </c>
      <c r="R27" s="11">
        <v>8643967612.3799992</v>
      </c>
      <c r="S27" s="11">
        <v>7929369468.6700001</v>
      </c>
      <c r="T27" s="11">
        <v>6608209157.9200001</v>
      </c>
      <c r="U27" s="11">
        <v>8367815613.0200005</v>
      </c>
      <c r="V27" s="11">
        <v>7128997012.2299995</v>
      </c>
      <c r="W27" s="11">
        <v>9609354065.1800003</v>
      </c>
      <c r="X27" s="11">
        <v>8279176114.5</v>
      </c>
      <c r="Y27" s="11">
        <v>10877552810.110001</v>
      </c>
      <c r="Z27" s="11">
        <v>9536070869.3600006</v>
      </c>
      <c r="AA27" s="13">
        <f t="shared" si="0"/>
        <v>80794408026.669998</v>
      </c>
      <c r="AB27" s="11">
        <v>21675391059.109997</v>
      </c>
      <c r="AC27" s="13">
        <f t="shared" si="1"/>
        <v>125068743.07534055</v>
      </c>
      <c r="AD27" s="13">
        <f t="shared" si="2"/>
        <v>33553236.933606807</v>
      </c>
    </row>
    <row r="28" spans="1:30" x14ac:dyDescent="0.3">
      <c r="A28">
        <v>27</v>
      </c>
      <c r="B28" t="s">
        <v>119</v>
      </c>
      <c r="C28" s="11">
        <v>7348161491.9899998</v>
      </c>
      <c r="D28" s="11">
        <v>5250317030.7200003</v>
      </c>
      <c r="E28" s="11">
        <v>5991579687.8299999</v>
      </c>
      <c r="F28" s="11">
        <v>3277698197.0100002</v>
      </c>
      <c r="G28" s="11">
        <v>5732234229.2600002</v>
      </c>
      <c r="H28" s="11">
        <v>3018352738.4400001</v>
      </c>
      <c r="I28" s="11">
        <v>5649133355.1099997</v>
      </c>
      <c r="J28" s="11">
        <v>2935251864.29</v>
      </c>
      <c r="K28" s="11">
        <v>6325195333.0799999</v>
      </c>
      <c r="L28" s="11">
        <v>4083493943.9499998</v>
      </c>
      <c r="M28" s="11">
        <v>7261718522.5500002</v>
      </c>
      <c r="N28" s="11">
        <v>5019914440.7700005</v>
      </c>
      <c r="O28" s="11">
        <v>7747205379.3900003</v>
      </c>
      <c r="P28" s="11">
        <v>6679539328.9799995</v>
      </c>
      <c r="Q28" s="11">
        <v>8754581374.9599991</v>
      </c>
      <c r="R28" s="11">
        <v>6740832204.8299999</v>
      </c>
      <c r="S28" s="11">
        <v>6919618255.6700001</v>
      </c>
      <c r="T28" s="11">
        <v>4457394878.1800003</v>
      </c>
      <c r="U28" s="11">
        <v>7359486425.7799997</v>
      </c>
      <c r="V28" s="11">
        <v>5849288415.54</v>
      </c>
      <c r="W28" s="11">
        <v>8465323520.4499998</v>
      </c>
      <c r="X28" s="11">
        <v>6896557473.3999996</v>
      </c>
      <c r="Y28" s="11">
        <v>9391222143.8899994</v>
      </c>
      <c r="Z28" s="11">
        <v>7822850951.6400003</v>
      </c>
      <c r="AA28" s="13">
        <f t="shared" si="0"/>
        <v>62031491467.75</v>
      </c>
      <c r="AB28" s="11">
        <v>146875041475.35999</v>
      </c>
      <c r="AC28" s="13">
        <f t="shared" si="1"/>
        <v>96023980.600232199</v>
      </c>
      <c r="AD28" s="13">
        <f t="shared" si="2"/>
        <v>227360745.31789473</v>
      </c>
    </row>
    <row r="29" spans="1:30" x14ac:dyDescent="0.3">
      <c r="A29">
        <v>28</v>
      </c>
      <c r="B29" t="s">
        <v>120</v>
      </c>
      <c r="C29" s="11">
        <v>12066198476.200001</v>
      </c>
      <c r="D29" s="11">
        <v>10669298553.23</v>
      </c>
      <c r="E29" s="11">
        <v>8357805038.3400002</v>
      </c>
      <c r="F29" s="11">
        <v>6849801851.6000004</v>
      </c>
      <c r="G29" s="11">
        <v>8510771894.1800003</v>
      </c>
      <c r="H29" s="11">
        <v>7002768707.4399996</v>
      </c>
      <c r="I29" s="11">
        <v>8502257936.3599997</v>
      </c>
      <c r="J29" s="11">
        <v>7028622985.1199999</v>
      </c>
      <c r="K29" s="11">
        <v>9190170636.7800007</v>
      </c>
      <c r="L29" s="11">
        <v>7933419162.1999998</v>
      </c>
      <c r="M29" s="11">
        <v>9903017611.7999992</v>
      </c>
      <c r="N29" s="11">
        <v>8646163241.1299992</v>
      </c>
      <c r="O29" s="11">
        <v>9620728757.4899998</v>
      </c>
      <c r="P29" s="11">
        <v>8690526438.6299992</v>
      </c>
      <c r="Q29" s="11">
        <v>9795745606.3799992</v>
      </c>
      <c r="R29" s="11">
        <v>8746870233.0400009</v>
      </c>
      <c r="S29" s="11">
        <v>9683379925.3700008</v>
      </c>
      <c r="T29" s="11">
        <v>8556054896.4700003</v>
      </c>
      <c r="U29" s="11">
        <v>8962938557.2800007</v>
      </c>
      <c r="V29" s="11">
        <v>8045604522.0100002</v>
      </c>
      <c r="W29" s="11">
        <v>10557798142.549999</v>
      </c>
      <c r="X29" s="11">
        <v>9568657961.2600002</v>
      </c>
      <c r="Y29" s="11">
        <v>10920062958.129999</v>
      </c>
      <c r="Z29" s="11">
        <v>9847747676.6100006</v>
      </c>
      <c r="AA29" s="13">
        <f t="shared" si="0"/>
        <v>101585536228.73997</v>
      </c>
      <c r="AB29" s="11">
        <v>41501551387.360001</v>
      </c>
      <c r="AC29" s="13">
        <f t="shared" si="1"/>
        <v>157253152.05687302</v>
      </c>
      <c r="AD29" s="13">
        <f t="shared" si="2"/>
        <v>64243887.596532509</v>
      </c>
    </row>
    <row r="30" spans="1:30" x14ac:dyDescent="0.3">
      <c r="A30">
        <v>29</v>
      </c>
      <c r="B30" t="s">
        <v>121</v>
      </c>
      <c r="C30" s="11">
        <v>7050523123.9499998</v>
      </c>
      <c r="D30" s="11">
        <v>5076379413.8299999</v>
      </c>
      <c r="E30" s="11">
        <v>5693337672.71</v>
      </c>
      <c r="F30" s="11">
        <v>3817434860.7600002</v>
      </c>
      <c r="G30" s="11">
        <v>5615196902.8299999</v>
      </c>
      <c r="H30" s="11">
        <v>3739294090.8800001</v>
      </c>
      <c r="I30" s="11">
        <v>5453802252.8100004</v>
      </c>
      <c r="J30" s="11">
        <v>3577899440.8600001</v>
      </c>
      <c r="K30" s="11">
        <v>5895272701.8900003</v>
      </c>
      <c r="L30" s="11">
        <v>4019369889.9400001</v>
      </c>
      <c r="M30" s="11">
        <v>6960625745.9399996</v>
      </c>
      <c r="N30" s="11">
        <v>5084622123.8999996</v>
      </c>
      <c r="O30" s="11">
        <v>7408847764.96</v>
      </c>
      <c r="P30" s="11">
        <v>7062900394.29</v>
      </c>
      <c r="Q30" s="11">
        <v>8291910135.0699997</v>
      </c>
      <c r="R30" s="11">
        <v>6746791217.3199997</v>
      </c>
      <c r="S30" s="11">
        <v>6582589464.7600002</v>
      </c>
      <c r="T30" s="11">
        <v>5031637232.6999998</v>
      </c>
      <c r="U30" s="11">
        <v>7004540424.21</v>
      </c>
      <c r="V30" s="11">
        <v>6658593053.54</v>
      </c>
      <c r="W30" s="11">
        <v>8157660669.6899996</v>
      </c>
      <c r="X30" s="11">
        <v>7754218930.7399998</v>
      </c>
      <c r="Y30" s="11">
        <v>9004109682.8999996</v>
      </c>
      <c r="Z30" s="11">
        <v>8601055560.2700005</v>
      </c>
      <c r="AA30" s="13">
        <f t="shared" si="0"/>
        <v>67170196209.029999</v>
      </c>
      <c r="AB30" s="11">
        <v>27925037155.169998</v>
      </c>
      <c r="AC30" s="13">
        <f t="shared" si="1"/>
        <v>103978631.90252322</v>
      </c>
      <c r="AD30" s="13">
        <f t="shared" si="2"/>
        <v>43227611.695309594</v>
      </c>
    </row>
    <row r="31" spans="1:30" x14ac:dyDescent="0.3">
      <c r="A31">
        <v>30</v>
      </c>
      <c r="B31" t="s">
        <v>122</v>
      </c>
      <c r="C31" s="11">
        <v>9928619824.7299995</v>
      </c>
      <c r="D31" s="11">
        <v>8050029348</v>
      </c>
      <c r="E31" s="11">
        <v>8179263705.9099998</v>
      </c>
      <c r="F31" s="11">
        <v>5902970769.46</v>
      </c>
      <c r="G31" s="11">
        <v>8713411216.6100006</v>
      </c>
      <c r="H31" s="11">
        <v>6437118280.1599998</v>
      </c>
      <c r="I31" s="11">
        <v>7858877467.75</v>
      </c>
      <c r="J31" s="11">
        <v>5711961383.1199999</v>
      </c>
      <c r="K31" s="11">
        <v>8928586823.6000004</v>
      </c>
      <c r="L31" s="11">
        <v>7362330231.25</v>
      </c>
      <c r="M31" s="11">
        <v>10052133285.200001</v>
      </c>
      <c r="N31" s="11">
        <v>8485752716.25</v>
      </c>
      <c r="O31" s="11">
        <v>10993755102.91</v>
      </c>
      <c r="P31" s="11">
        <v>9319266854.9400005</v>
      </c>
      <c r="Q31" s="11">
        <v>12429780124.540001</v>
      </c>
      <c r="R31" s="11">
        <v>10564544262.91</v>
      </c>
      <c r="S31" s="11">
        <v>10290734278.309999</v>
      </c>
      <c r="T31" s="11">
        <v>8418324586.1999998</v>
      </c>
      <c r="U31" s="11">
        <v>10706754518.6</v>
      </c>
      <c r="V31" s="11">
        <v>9032266270.6299992</v>
      </c>
      <c r="W31" s="11">
        <v>11740440911.23</v>
      </c>
      <c r="X31" s="11">
        <v>9995245886.7700005</v>
      </c>
      <c r="Y31" s="11">
        <v>14106569271.459999</v>
      </c>
      <c r="Z31" s="11">
        <v>12361850938.92</v>
      </c>
      <c r="AA31" s="13">
        <f t="shared" si="0"/>
        <v>101641661528.61</v>
      </c>
      <c r="AB31" s="11">
        <v>52745497059.039993</v>
      </c>
      <c r="AC31" s="13">
        <f t="shared" si="1"/>
        <v>157340033.32602167</v>
      </c>
      <c r="AD31" s="13">
        <f t="shared" si="2"/>
        <v>81649376.252383888</v>
      </c>
    </row>
    <row r="32" spans="1:30" x14ac:dyDescent="0.3">
      <c r="A32">
        <v>31</v>
      </c>
      <c r="B32" t="s">
        <v>123</v>
      </c>
      <c r="C32" s="11">
        <v>7530378900.0200005</v>
      </c>
      <c r="D32" s="11">
        <v>5691593515.7299995</v>
      </c>
      <c r="E32" s="11">
        <v>6113235824.4300003</v>
      </c>
      <c r="F32" s="11">
        <v>3787782425.73</v>
      </c>
      <c r="G32" s="11">
        <v>6132164332.1400003</v>
      </c>
      <c r="H32" s="11">
        <v>3806710933.4400001</v>
      </c>
      <c r="I32" s="11">
        <v>5756470485.3699999</v>
      </c>
      <c r="J32" s="11">
        <v>3431017086.6799998</v>
      </c>
      <c r="K32" s="11">
        <v>6385834754.7799997</v>
      </c>
      <c r="L32" s="11">
        <v>4568242473.3900003</v>
      </c>
      <c r="M32" s="11">
        <v>7556814247.1199999</v>
      </c>
      <c r="N32" s="11">
        <v>5739106539.4300003</v>
      </c>
      <c r="O32" s="11">
        <v>7965245262.04</v>
      </c>
      <c r="P32" s="11">
        <v>6477885089.46</v>
      </c>
      <c r="Q32" s="11">
        <v>8963076981.7199993</v>
      </c>
      <c r="R32" s="11">
        <v>7070512614.96</v>
      </c>
      <c r="S32" s="11">
        <v>7012161731.9399996</v>
      </c>
      <c r="T32" s="11">
        <v>5132554256.7799997</v>
      </c>
      <c r="U32" s="11">
        <v>7501783807.6199999</v>
      </c>
      <c r="V32" s="11">
        <v>6028858958.2799997</v>
      </c>
      <c r="W32" s="11">
        <v>8681405182.1900005</v>
      </c>
      <c r="X32" s="11">
        <v>7127929968.8000002</v>
      </c>
      <c r="Y32" s="11">
        <v>9455682097.8099995</v>
      </c>
      <c r="Z32" s="11">
        <v>7909862888.6999998</v>
      </c>
      <c r="AA32" s="13">
        <f t="shared" si="0"/>
        <v>66772056751.379997</v>
      </c>
      <c r="AB32" s="11">
        <v>25844931675.450001</v>
      </c>
      <c r="AC32" s="13">
        <f t="shared" si="1"/>
        <v>103362316.95260061</v>
      </c>
      <c r="AD32" s="13">
        <f t="shared" si="2"/>
        <v>40007634.172523223</v>
      </c>
    </row>
    <row r="33" spans="1:30" x14ac:dyDescent="0.3">
      <c r="A33">
        <v>32</v>
      </c>
      <c r="B33" t="s">
        <v>124</v>
      </c>
      <c r="C33" s="11">
        <v>41439840871.239998</v>
      </c>
      <c r="D33" s="11">
        <v>40446572590.529999</v>
      </c>
      <c r="E33" s="11">
        <v>24561202452.290001</v>
      </c>
      <c r="F33" s="11">
        <v>22803604647.5</v>
      </c>
      <c r="G33" s="11">
        <v>25822815339.029999</v>
      </c>
      <c r="H33" s="11">
        <v>24065217534.240002</v>
      </c>
      <c r="I33" s="11">
        <v>25444403080.25</v>
      </c>
      <c r="J33" s="11">
        <v>23686805275.459999</v>
      </c>
      <c r="K33" s="11">
        <v>28045459246.630001</v>
      </c>
      <c r="L33" s="11">
        <v>27077959271.349998</v>
      </c>
      <c r="M33" s="11">
        <v>28275629240.669998</v>
      </c>
      <c r="N33" s="11">
        <v>27308010057.330002</v>
      </c>
      <c r="O33" s="11">
        <v>24812364384.549999</v>
      </c>
      <c r="P33" s="11">
        <v>24455185647.580002</v>
      </c>
      <c r="Q33" s="11">
        <v>23009783644.889999</v>
      </c>
      <c r="R33" s="11">
        <v>22272538761.490002</v>
      </c>
      <c r="S33" s="11">
        <v>27954491946.790001</v>
      </c>
      <c r="T33" s="11">
        <v>27230628466.509998</v>
      </c>
      <c r="U33" s="11">
        <v>23050534145.009998</v>
      </c>
      <c r="V33" s="11">
        <v>22708263681.220001</v>
      </c>
      <c r="W33" s="11">
        <v>27720383145.830002</v>
      </c>
      <c r="X33" s="11">
        <v>27294923216.07</v>
      </c>
      <c r="Y33" s="11">
        <v>26647554657.900002</v>
      </c>
      <c r="Z33" s="11">
        <v>25225403682.360001</v>
      </c>
      <c r="AA33" s="13">
        <f t="shared" si="0"/>
        <v>314575112831.64001</v>
      </c>
      <c r="AB33" s="11">
        <v>195414581585.34</v>
      </c>
      <c r="AC33" s="13">
        <f t="shared" si="1"/>
        <v>486958378.99634677</v>
      </c>
      <c r="AD33" s="13">
        <f t="shared" si="2"/>
        <v>302499352.29928792</v>
      </c>
    </row>
    <row r="34" spans="1:30" x14ac:dyDescent="0.3">
      <c r="A34">
        <v>33</v>
      </c>
      <c r="B34" t="s">
        <v>125</v>
      </c>
      <c r="C34" s="11">
        <v>7910492091.3000002</v>
      </c>
      <c r="D34" s="11">
        <v>6676694086.6899996</v>
      </c>
      <c r="E34" s="11">
        <v>6391651194.21</v>
      </c>
      <c r="F34" s="11">
        <v>4610080632.2700005</v>
      </c>
      <c r="G34" s="11">
        <v>6186589115.0100002</v>
      </c>
      <c r="H34" s="11">
        <v>4405018553.0699997</v>
      </c>
      <c r="I34" s="11">
        <v>6021824666.3199997</v>
      </c>
      <c r="J34" s="11">
        <v>4240254104.3800001</v>
      </c>
      <c r="K34" s="11">
        <v>6616836156.8000002</v>
      </c>
      <c r="L34" s="11">
        <v>5407706272.3400002</v>
      </c>
      <c r="M34" s="11">
        <v>7838576209.5100002</v>
      </c>
      <c r="N34" s="11">
        <v>6629324505.2399998</v>
      </c>
      <c r="O34" s="11">
        <v>8289974257.25</v>
      </c>
      <c r="P34" s="11">
        <v>7416537755.3400002</v>
      </c>
      <c r="Q34" s="11">
        <v>9347537280.2999992</v>
      </c>
      <c r="R34" s="11">
        <v>8190835482.6800003</v>
      </c>
      <c r="S34" s="11">
        <v>7453002018.5200005</v>
      </c>
      <c r="T34" s="11">
        <v>6289251191.7200003</v>
      </c>
      <c r="U34" s="11">
        <v>7930514411.4499998</v>
      </c>
      <c r="V34" s="11">
        <v>6842571811.3299999</v>
      </c>
      <c r="W34" s="11">
        <v>9043527127.2999992</v>
      </c>
      <c r="X34" s="11">
        <v>7962427176.8699999</v>
      </c>
      <c r="Y34" s="11">
        <v>10002353621.42</v>
      </c>
      <c r="Z34" s="11">
        <v>8921722070.0200005</v>
      </c>
      <c r="AA34" s="13">
        <f t="shared" si="0"/>
        <v>77592423641.950012</v>
      </c>
      <c r="AB34" s="11">
        <v>17961334445.300003</v>
      </c>
      <c r="AC34" s="13">
        <f t="shared" si="1"/>
        <v>120112110.90085141</v>
      </c>
      <c r="AD34" s="13">
        <f t="shared" si="2"/>
        <v>27803923.289938085</v>
      </c>
    </row>
    <row r="35" spans="1:30" x14ac:dyDescent="0.3">
      <c r="A35">
        <v>34</v>
      </c>
      <c r="B35" t="s">
        <v>126</v>
      </c>
      <c r="C35" s="11">
        <v>6819240935.5699997</v>
      </c>
      <c r="D35" s="11">
        <v>5691800731.0699997</v>
      </c>
      <c r="E35" s="11">
        <v>5573789454.96</v>
      </c>
      <c r="F35" s="11">
        <v>4354131644.2299995</v>
      </c>
      <c r="G35" s="11">
        <v>5455250659.3199997</v>
      </c>
      <c r="H35" s="11">
        <v>4235592848.5900002</v>
      </c>
      <c r="I35" s="11">
        <v>5222543018.5799999</v>
      </c>
      <c r="J35" s="11">
        <v>4002885207.8499999</v>
      </c>
      <c r="K35" s="11">
        <v>5865957332.6000004</v>
      </c>
      <c r="L35" s="11">
        <v>4804588297.6899996</v>
      </c>
      <c r="M35" s="11">
        <v>6823806946.2799997</v>
      </c>
      <c r="N35" s="11">
        <v>6159315061.4200001</v>
      </c>
      <c r="O35" s="11">
        <v>7236968963.0200005</v>
      </c>
      <c r="P35" s="11">
        <v>7052474991.29</v>
      </c>
      <c r="Q35" s="11">
        <v>8113610339.54</v>
      </c>
      <c r="R35" s="11">
        <v>7718581472.04</v>
      </c>
      <c r="S35" s="11">
        <v>6570005472.1700001</v>
      </c>
      <c r="T35" s="11">
        <v>6168815458.6599998</v>
      </c>
      <c r="U35" s="11">
        <v>6849478599.0600004</v>
      </c>
      <c r="V35" s="11">
        <v>6664984627.3299999</v>
      </c>
      <c r="W35" s="11">
        <v>8275726342.4799995</v>
      </c>
      <c r="X35" s="11">
        <v>8030506824.5500002</v>
      </c>
      <c r="Y35" s="11">
        <v>8838030989.5400009</v>
      </c>
      <c r="Z35" s="11">
        <v>8593220871.9400005</v>
      </c>
      <c r="AA35" s="13">
        <f t="shared" si="0"/>
        <v>73476898036.660004</v>
      </c>
      <c r="AB35" s="11">
        <v>10869178343.940001</v>
      </c>
      <c r="AC35" s="13">
        <f t="shared" si="1"/>
        <v>113741328.23012385</v>
      </c>
      <c r="AD35" s="13">
        <f t="shared" si="2"/>
        <v>16825353.473591331</v>
      </c>
    </row>
    <row r="36" spans="1:30" x14ac:dyDescent="0.3">
      <c r="A36">
        <v>35</v>
      </c>
      <c r="B36" t="s">
        <v>127</v>
      </c>
      <c r="C36" s="11">
        <v>6958482773.8199997</v>
      </c>
      <c r="D36" s="11">
        <v>6237766672.9200001</v>
      </c>
      <c r="E36" s="11">
        <v>5663004950.4700003</v>
      </c>
      <c r="F36" s="11">
        <v>4513226357.71</v>
      </c>
      <c r="G36" s="11">
        <v>5429829726.4200001</v>
      </c>
      <c r="H36" s="11">
        <v>4241432625.0500002</v>
      </c>
      <c r="I36" s="11">
        <v>5425676639.0100002</v>
      </c>
      <c r="J36" s="11">
        <v>4252319537.6399999</v>
      </c>
      <c r="K36" s="11">
        <v>5886042325.3299999</v>
      </c>
      <c r="L36" s="11">
        <v>5147479000.6300001</v>
      </c>
      <c r="M36" s="11">
        <v>6996495649.4099998</v>
      </c>
      <c r="N36" s="11">
        <v>6257822562.0299997</v>
      </c>
      <c r="O36" s="11">
        <v>7468208308.8500004</v>
      </c>
      <c r="P36" s="11">
        <v>6974525697.4899998</v>
      </c>
      <c r="Q36" s="11">
        <v>8413057638.2600002</v>
      </c>
      <c r="R36" s="11">
        <v>7857421279.5100002</v>
      </c>
      <c r="S36" s="11">
        <v>6593520085.9700003</v>
      </c>
      <c r="T36" s="11">
        <v>6031532376.5799999</v>
      </c>
      <c r="U36" s="11">
        <v>6911540772.4300003</v>
      </c>
      <c r="V36" s="11">
        <v>6417858161.0699997</v>
      </c>
      <c r="W36" s="11">
        <v>8067702319.2399998</v>
      </c>
      <c r="X36" s="11">
        <v>7511419465.0600004</v>
      </c>
      <c r="Y36" s="11">
        <v>8779005767.9400005</v>
      </c>
      <c r="Z36" s="11">
        <v>8223144952.9399996</v>
      </c>
      <c r="AA36" s="13">
        <f t="shared" si="0"/>
        <v>73665948688.630005</v>
      </c>
      <c r="AB36" s="11">
        <v>11194721282.860001</v>
      </c>
      <c r="AC36" s="13">
        <f t="shared" si="1"/>
        <v>114033976.29818887</v>
      </c>
      <c r="AD36" s="13">
        <f t="shared" si="2"/>
        <v>17329289.911547989</v>
      </c>
    </row>
    <row r="37" spans="1:30" x14ac:dyDescent="0.3">
      <c r="A37">
        <v>36</v>
      </c>
      <c r="B37" t="s">
        <v>128</v>
      </c>
      <c r="C37" s="11">
        <v>7219042828.0299997</v>
      </c>
      <c r="D37" s="11">
        <v>6003784630.8000002</v>
      </c>
      <c r="E37" s="11">
        <v>5892695143.1999998</v>
      </c>
      <c r="F37" s="11">
        <v>4218129803.3499999</v>
      </c>
      <c r="G37" s="11">
        <v>5684680396.6199999</v>
      </c>
      <c r="H37" s="11">
        <v>4014285056.77</v>
      </c>
      <c r="I37" s="11">
        <v>5525861331.1099997</v>
      </c>
      <c r="J37" s="11">
        <v>3855465991.2600002</v>
      </c>
      <c r="K37" s="11">
        <v>6082147259.4799995</v>
      </c>
      <c r="L37" s="11">
        <v>4860762802.0600004</v>
      </c>
      <c r="M37" s="11">
        <v>7269543008.54</v>
      </c>
      <c r="N37" s="11">
        <v>5928278554.6700001</v>
      </c>
      <c r="O37" s="11">
        <v>7640766861.5100002</v>
      </c>
      <c r="P37" s="11">
        <v>6877679239.8100004</v>
      </c>
      <c r="Q37" s="11">
        <v>8614372596.9799995</v>
      </c>
      <c r="R37" s="11">
        <v>7546284276.9700003</v>
      </c>
      <c r="S37" s="11">
        <v>6826100637.8299999</v>
      </c>
      <c r="T37" s="11">
        <v>5751677440.6599998</v>
      </c>
      <c r="U37" s="11">
        <v>7187956986.9300003</v>
      </c>
      <c r="V37" s="11">
        <v>6424979365.2299995</v>
      </c>
      <c r="W37" s="11">
        <v>8410185221.4099998</v>
      </c>
      <c r="X37" s="11">
        <v>7584514036.6499996</v>
      </c>
      <c r="Y37" s="11">
        <v>9179030754.9400005</v>
      </c>
      <c r="Z37" s="11">
        <v>8353822508.1800003</v>
      </c>
      <c r="AA37" s="13">
        <f t="shared" si="0"/>
        <v>71419663706.410004</v>
      </c>
      <c r="AB37" s="11">
        <v>22162590810.589996</v>
      </c>
      <c r="AC37" s="13">
        <f t="shared" si="1"/>
        <v>110556754.96348298</v>
      </c>
      <c r="AD37" s="13">
        <f t="shared" si="2"/>
        <v>34307416.115464389</v>
      </c>
    </row>
    <row r="38" spans="1:30" x14ac:dyDescent="0.3">
      <c r="A38">
        <v>37</v>
      </c>
      <c r="B38" t="s">
        <v>62</v>
      </c>
      <c r="C38" s="11"/>
      <c r="D38" s="11">
        <v>6613921491.1800003</v>
      </c>
      <c r="E38" s="11"/>
      <c r="F38" s="11">
        <v>6234130885.5699997</v>
      </c>
      <c r="G38" s="11"/>
      <c r="H38" s="11"/>
      <c r="I38" s="11"/>
      <c r="J38" s="11">
        <v>7129660612.3100004</v>
      </c>
      <c r="K38" s="11"/>
      <c r="L38" s="11">
        <v>8809913683.5400009</v>
      </c>
      <c r="M38" s="11"/>
      <c r="N38" s="11">
        <v>8498629960.4399996</v>
      </c>
      <c r="O38" s="11"/>
      <c r="P38" s="11">
        <v>9379686445.3199997</v>
      </c>
      <c r="Q38" s="11"/>
      <c r="R38" s="11">
        <v>10492603428.59</v>
      </c>
      <c r="S38" s="11"/>
      <c r="T38" s="11">
        <v>8088009790.0299997</v>
      </c>
      <c r="U38" s="11"/>
      <c r="V38" s="11">
        <v>8465684247.6599998</v>
      </c>
      <c r="W38" s="11"/>
      <c r="X38" s="11">
        <v>10036613146.940001</v>
      </c>
      <c r="Y38" s="11"/>
      <c r="Z38" s="11">
        <v>10597800986.41</v>
      </c>
      <c r="AA38" s="13">
        <f t="shared" si="0"/>
        <v>94346654677.990005</v>
      </c>
      <c r="AB38" s="11">
        <v>211100288136.35999</v>
      </c>
      <c r="AC38" s="13">
        <f t="shared" si="1"/>
        <v>146047453.06190404</v>
      </c>
      <c r="AD38" s="13">
        <f t="shared" si="2"/>
        <v>326780631.79003096</v>
      </c>
    </row>
    <row r="39" spans="1:30" x14ac:dyDescent="0.3">
      <c r="AA39" s="13">
        <f>SUM(AA2:AA38)</f>
        <v>4005256605143.8892</v>
      </c>
      <c r="AC39" s="13">
        <f t="shared" si="1"/>
        <v>6200087624.0617476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8C43-16CC-4A1A-AD98-6F32B18E9372}">
  <dimension ref="A1:AD39"/>
  <sheetViews>
    <sheetView workbookViewId="0">
      <selection activeCell="AA40" sqref="AA40"/>
    </sheetView>
  </sheetViews>
  <sheetFormatPr defaultRowHeight="14.4" x14ac:dyDescent="0.3"/>
  <cols>
    <col min="3" max="26" width="17.21875" bestFit="1" customWidth="1"/>
    <col min="27" max="28" width="19.6640625" bestFit="1" customWidth="1"/>
    <col min="29" max="29" width="18.109375" customWidth="1"/>
    <col min="30" max="30" width="16.88671875" customWidth="1"/>
  </cols>
  <sheetData>
    <row r="1" spans="1:30" x14ac:dyDescent="0.3">
      <c r="A1" t="s">
        <v>0</v>
      </c>
      <c r="B1" t="s">
        <v>1</v>
      </c>
      <c r="C1" t="s">
        <v>129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147</v>
      </c>
      <c r="AA1" t="s">
        <v>66</v>
      </c>
      <c r="AB1" t="s">
        <v>67</v>
      </c>
      <c r="AC1" t="s">
        <v>185</v>
      </c>
      <c r="AD1" t="s">
        <v>186</v>
      </c>
    </row>
    <row r="2" spans="1:30" x14ac:dyDescent="0.3">
      <c r="A2">
        <v>1</v>
      </c>
      <c r="B2" t="s">
        <v>93</v>
      </c>
      <c r="C2" s="11">
        <v>8983225308.6499996</v>
      </c>
      <c r="D2" s="11">
        <v>8325586757.9799995</v>
      </c>
      <c r="E2" s="11">
        <v>9766798400.8600006</v>
      </c>
      <c r="F2" s="11">
        <v>8999378995.9200001</v>
      </c>
      <c r="G2" s="11">
        <v>9699990441.7000008</v>
      </c>
      <c r="H2" s="11">
        <v>9134444178.7399998</v>
      </c>
      <c r="I2" s="11">
        <v>10269337674.23</v>
      </c>
      <c r="J2" s="11">
        <v>9695211454.5699997</v>
      </c>
      <c r="K2" s="11">
        <v>9871575823.6399994</v>
      </c>
      <c r="L2" s="11">
        <v>9280860705.0799999</v>
      </c>
      <c r="M2" s="11">
        <v>11157592244.99</v>
      </c>
      <c r="N2" s="11">
        <v>10573157910.49</v>
      </c>
      <c r="O2" s="11">
        <v>11584228128.74</v>
      </c>
      <c r="P2" s="11">
        <v>10572445635.209999</v>
      </c>
      <c r="Q2" s="11">
        <v>10340299176.68</v>
      </c>
      <c r="R2" s="11">
        <v>9336670869.4500008</v>
      </c>
      <c r="S2" s="11">
        <v>10968339804.35</v>
      </c>
      <c r="T2" s="11">
        <v>9890898950.9699993</v>
      </c>
      <c r="U2" s="11">
        <v>12125482819.65</v>
      </c>
      <c r="V2" s="11">
        <v>11140645344.77</v>
      </c>
      <c r="W2" s="11">
        <v>14974143709.83</v>
      </c>
      <c r="X2" s="11">
        <v>13971609239.790001</v>
      </c>
      <c r="Y2" s="11">
        <v>12313768248.48</v>
      </c>
      <c r="Z2" s="11">
        <v>11277583006.940001</v>
      </c>
      <c r="AA2" s="13">
        <f>SUM(D2,F2,H2,J2,L2,N2,P2,R2,T2,V2,X2,Z2)</f>
        <v>122198493049.91</v>
      </c>
      <c r="AB2" s="11">
        <v>40009340912.93</v>
      </c>
      <c r="AC2" s="13">
        <f>AA2/1480</f>
        <v>82566549.358047307</v>
      </c>
      <c r="AD2" s="13">
        <f>AB2/1480</f>
        <v>27033338.454682432</v>
      </c>
    </row>
    <row r="3" spans="1:30" x14ac:dyDescent="0.3">
      <c r="A3">
        <v>2</v>
      </c>
      <c r="B3" t="s">
        <v>94</v>
      </c>
      <c r="C3" s="11">
        <v>9303309279.8099995</v>
      </c>
      <c r="D3" s="11">
        <v>8403775475.3900003</v>
      </c>
      <c r="E3" s="11">
        <v>8759568714.4799995</v>
      </c>
      <c r="F3" s="11">
        <v>7507550313.9899998</v>
      </c>
      <c r="G3" s="11">
        <v>9508994212.7800007</v>
      </c>
      <c r="H3" s="11">
        <v>8598456465.9300003</v>
      </c>
      <c r="I3" s="11">
        <v>9495143779.9699993</v>
      </c>
      <c r="J3" s="11">
        <v>8584624823.3900003</v>
      </c>
      <c r="K3" s="11">
        <v>9691588805.0599995</v>
      </c>
      <c r="L3" s="11">
        <v>8759249616.9699993</v>
      </c>
      <c r="M3" s="11">
        <v>10945995531.969999</v>
      </c>
      <c r="N3" s="11">
        <v>10035476575.389999</v>
      </c>
      <c r="O3" s="11">
        <v>11117022053.129999</v>
      </c>
      <c r="P3" s="11">
        <v>9777067175.7600002</v>
      </c>
      <c r="Q3" s="11">
        <v>9932217024.3199997</v>
      </c>
      <c r="R3" s="11">
        <v>8592281524.7399998</v>
      </c>
      <c r="S3" s="11">
        <v>10729941318.68</v>
      </c>
      <c r="T3" s="11">
        <v>9293268247.3199997</v>
      </c>
      <c r="U3" s="11">
        <v>12143884990.92</v>
      </c>
      <c r="V3" s="11">
        <v>10785055100.190001</v>
      </c>
      <c r="W3" s="11">
        <v>13095430943.51</v>
      </c>
      <c r="X3" s="11">
        <v>11755624713.049999</v>
      </c>
      <c r="Y3" s="11">
        <v>12021962772.23</v>
      </c>
      <c r="Z3" s="11">
        <v>10621899344.450001</v>
      </c>
      <c r="AA3" s="13">
        <f t="shared" ref="AA3:AA38" si="0">SUM(D3,F3,H3,J3,L3,N3,P3,R3,T3,V3,X3,Z3)</f>
        <v>112714329376.57001</v>
      </c>
      <c r="AB3" s="11">
        <v>20298222818.559998</v>
      </c>
      <c r="AC3" s="13">
        <f t="shared" ref="AC3:AC39" si="1">AA3/1480</f>
        <v>76158330.659844592</v>
      </c>
      <c r="AD3" s="13">
        <f t="shared" ref="AD3:AD38" si="2">AB3/1480</f>
        <v>13715015.417945944</v>
      </c>
    </row>
    <row r="4" spans="1:30" x14ac:dyDescent="0.3">
      <c r="A4">
        <v>3</v>
      </c>
      <c r="B4" t="s">
        <v>95</v>
      </c>
      <c r="C4" s="11">
        <v>27675363764.77</v>
      </c>
      <c r="D4" s="11">
        <v>26560328439.900002</v>
      </c>
      <c r="E4" s="11">
        <v>43656571118.139999</v>
      </c>
      <c r="F4" s="11">
        <v>41655412272.709999</v>
      </c>
      <c r="G4" s="11">
        <v>27810388835.810001</v>
      </c>
      <c r="H4" s="11">
        <v>25993885254.880001</v>
      </c>
      <c r="I4" s="11">
        <v>35059206591.540001</v>
      </c>
      <c r="J4" s="11">
        <v>33312263692.18</v>
      </c>
      <c r="K4" s="11">
        <v>32407951288.419998</v>
      </c>
      <c r="L4" s="11">
        <v>30603869114.34</v>
      </c>
      <c r="M4" s="11">
        <v>29711564338.189999</v>
      </c>
      <c r="N4" s="11">
        <v>27953553470.549999</v>
      </c>
      <c r="O4" s="11">
        <v>34660983877.080002</v>
      </c>
      <c r="P4" s="11">
        <v>32639368782.290001</v>
      </c>
      <c r="Q4" s="11">
        <v>29745056829.990002</v>
      </c>
      <c r="R4" s="11">
        <v>27732237332.630001</v>
      </c>
      <c r="S4" s="11">
        <v>28453585412.610001</v>
      </c>
      <c r="T4" s="11">
        <v>26415778535.990002</v>
      </c>
      <c r="U4" s="11">
        <v>36457296133.190002</v>
      </c>
      <c r="V4" s="11">
        <v>34927475389.800003</v>
      </c>
      <c r="W4" s="11">
        <v>52548753126.349998</v>
      </c>
      <c r="X4" s="11">
        <v>50999972117.230003</v>
      </c>
      <c r="Y4" s="11">
        <v>33726064861.900002</v>
      </c>
      <c r="Z4" s="11">
        <v>32141194101.07</v>
      </c>
      <c r="AA4" s="13">
        <f t="shared" si="0"/>
        <v>390935338503.57001</v>
      </c>
      <c r="AB4" s="11">
        <v>75768017871.080002</v>
      </c>
      <c r="AC4" s="13">
        <f t="shared" si="1"/>
        <v>264145498.98889866</v>
      </c>
      <c r="AD4" s="13">
        <f t="shared" si="2"/>
        <v>51194606.669648647</v>
      </c>
    </row>
    <row r="5" spans="1:30" x14ac:dyDescent="0.3">
      <c r="A5">
        <v>4</v>
      </c>
      <c r="B5" t="s">
        <v>96</v>
      </c>
      <c r="C5" s="11">
        <v>10581239327.030001</v>
      </c>
      <c r="D5" s="11">
        <v>10032469735.450001</v>
      </c>
      <c r="E5" s="11">
        <v>11103132169.379999</v>
      </c>
      <c r="F5" s="11">
        <v>10496052146.780001</v>
      </c>
      <c r="G5" s="11">
        <v>11322654934.530001</v>
      </c>
      <c r="H5" s="11">
        <v>10936497578.98</v>
      </c>
      <c r="I5" s="11">
        <v>12119918073.040001</v>
      </c>
      <c r="J5" s="11">
        <v>11733760717.49</v>
      </c>
      <c r="K5" s="11">
        <v>12091176780.360001</v>
      </c>
      <c r="L5" s="11">
        <v>11683155779.23</v>
      </c>
      <c r="M5" s="11">
        <v>12957219410.15</v>
      </c>
      <c r="N5" s="11">
        <v>12571062054.6</v>
      </c>
      <c r="O5" s="11">
        <v>13769555312.559999</v>
      </c>
      <c r="P5" s="11">
        <v>12996276437.15</v>
      </c>
      <c r="Q5" s="11">
        <v>12599751424.76</v>
      </c>
      <c r="R5" s="11">
        <v>11826472549.35</v>
      </c>
      <c r="S5" s="11">
        <v>12990193653.16</v>
      </c>
      <c r="T5" s="11">
        <v>12110289181.299999</v>
      </c>
      <c r="U5" s="11">
        <v>14447495175.440001</v>
      </c>
      <c r="V5" s="11">
        <v>13665299439.65</v>
      </c>
      <c r="W5" s="11">
        <v>17876247988.82</v>
      </c>
      <c r="X5" s="11">
        <v>17102969113.41</v>
      </c>
      <c r="Y5" s="11">
        <v>13944613523.85</v>
      </c>
      <c r="Z5" s="11">
        <v>13111240762.700001</v>
      </c>
      <c r="AA5" s="13">
        <f t="shared" si="0"/>
        <v>148265545496.09003</v>
      </c>
      <c r="AB5" s="11">
        <v>42689648058.740005</v>
      </c>
      <c r="AC5" s="13">
        <f t="shared" si="1"/>
        <v>100179422.63249326</v>
      </c>
      <c r="AD5" s="13">
        <f t="shared" si="2"/>
        <v>28844356.796445951</v>
      </c>
    </row>
    <row r="6" spans="1:30" x14ac:dyDescent="0.3">
      <c r="A6">
        <v>5</v>
      </c>
      <c r="B6" t="s">
        <v>97</v>
      </c>
      <c r="C6" s="11">
        <v>10988694538.35</v>
      </c>
      <c r="D6" s="11">
        <v>8240534935.1800003</v>
      </c>
      <c r="E6" s="11">
        <v>10032569550.780001</v>
      </c>
      <c r="F6" s="11">
        <v>7002360742.9499998</v>
      </c>
      <c r="G6" s="11">
        <v>10699788812.33</v>
      </c>
      <c r="H6" s="11">
        <v>8280068666.3500004</v>
      </c>
      <c r="I6" s="11">
        <v>10947869176.09</v>
      </c>
      <c r="J6" s="11">
        <v>7770581157.71</v>
      </c>
      <c r="K6" s="11">
        <v>10741862008.200001</v>
      </c>
      <c r="L6" s="11">
        <v>7538271291.6700001</v>
      </c>
      <c r="M6" s="11">
        <v>12849892637.540001</v>
      </c>
      <c r="N6" s="11">
        <v>9672604619.1599998</v>
      </c>
      <c r="O6" s="11">
        <v>12758184680.23</v>
      </c>
      <c r="P6" s="11">
        <v>9278890746.6100006</v>
      </c>
      <c r="Q6" s="11">
        <v>11352284426.219999</v>
      </c>
      <c r="R6" s="11">
        <v>7872990492.6000004</v>
      </c>
      <c r="S6" s="11">
        <v>12410181270.940001</v>
      </c>
      <c r="T6" s="11">
        <v>8802613172.4200001</v>
      </c>
      <c r="U6" s="11">
        <v>13349174043.58</v>
      </c>
      <c r="V6" s="11">
        <v>9859152828.1700001</v>
      </c>
      <c r="W6" s="11">
        <v>15209897238.379999</v>
      </c>
      <c r="X6" s="11">
        <v>11730603304.76</v>
      </c>
      <c r="Y6" s="11">
        <v>13610378846.4</v>
      </c>
      <c r="Z6" s="11">
        <v>10058789954.860001</v>
      </c>
      <c r="AA6" s="13">
        <f t="shared" si="0"/>
        <v>106107461912.44</v>
      </c>
      <c r="AB6" s="11">
        <v>32427554765.850002</v>
      </c>
      <c r="AC6" s="13">
        <f t="shared" si="1"/>
        <v>71694231.021918923</v>
      </c>
      <c r="AD6" s="13">
        <f t="shared" si="2"/>
        <v>21910509.976925679</v>
      </c>
    </row>
    <row r="7" spans="1:30" x14ac:dyDescent="0.3">
      <c r="A7">
        <v>6</v>
      </c>
      <c r="B7" t="s">
        <v>98</v>
      </c>
      <c r="C7" s="11">
        <v>23503893862.84</v>
      </c>
      <c r="D7" s="11">
        <v>22832941563.110001</v>
      </c>
      <c r="E7" s="11">
        <v>38697311676.529999</v>
      </c>
      <c r="F7" s="11">
        <v>37186105775.389999</v>
      </c>
      <c r="G7" s="11">
        <v>26924406731.57</v>
      </c>
      <c r="H7" s="11">
        <v>25568706671.720001</v>
      </c>
      <c r="I7" s="11">
        <v>31058091260.939999</v>
      </c>
      <c r="J7" s="11">
        <v>29694283742.060001</v>
      </c>
      <c r="K7" s="11">
        <v>26694309833.299999</v>
      </c>
      <c r="L7" s="11">
        <v>25232141674.82</v>
      </c>
      <c r="M7" s="11">
        <v>26214104399.709999</v>
      </c>
      <c r="N7" s="11">
        <v>24840556433.220001</v>
      </c>
      <c r="O7" s="11">
        <v>28366922067.509998</v>
      </c>
      <c r="P7" s="11">
        <v>26685644895.880001</v>
      </c>
      <c r="Q7" s="11">
        <v>26409005132.240002</v>
      </c>
      <c r="R7" s="11">
        <v>24735433096.380001</v>
      </c>
      <c r="S7" s="11">
        <v>26514764952.240002</v>
      </c>
      <c r="T7" s="11">
        <v>24738655337.299999</v>
      </c>
      <c r="U7" s="11">
        <v>37982141546.720001</v>
      </c>
      <c r="V7" s="11">
        <v>36293535648.089996</v>
      </c>
      <c r="W7" s="11">
        <v>52269676549.849998</v>
      </c>
      <c r="X7" s="11">
        <v>50564348228.470001</v>
      </c>
      <c r="Y7" s="11">
        <v>36860024379.790001</v>
      </c>
      <c r="Z7" s="11">
        <v>35122898432.760002</v>
      </c>
      <c r="AA7" s="13">
        <f t="shared" si="0"/>
        <v>363495251499.19995</v>
      </c>
      <c r="AB7" s="11">
        <v>64013288202.51001</v>
      </c>
      <c r="AC7" s="13">
        <f t="shared" si="1"/>
        <v>245604899.6616216</v>
      </c>
      <c r="AD7" s="13">
        <f t="shared" si="2"/>
        <v>43252221.758452706</v>
      </c>
    </row>
    <row r="8" spans="1:30" x14ac:dyDescent="0.3">
      <c r="A8">
        <v>7</v>
      </c>
      <c r="B8" t="s">
        <v>99</v>
      </c>
      <c r="C8" s="11">
        <v>10106378510.84</v>
      </c>
      <c r="D8" s="11">
        <v>9725048010.6200008</v>
      </c>
      <c r="E8" s="11">
        <v>9492578025.6000004</v>
      </c>
      <c r="F8" s="11">
        <v>9002868531.9200001</v>
      </c>
      <c r="G8" s="11">
        <v>10801907557.110001</v>
      </c>
      <c r="H8" s="11">
        <v>10419754076.860001</v>
      </c>
      <c r="I8" s="11">
        <v>10606886013.77</v>
      </c>
      <c r="J8" s="11">
        <v>10214456604.190001</v>
      </c>
      <c r="K8" s="11">
        <v>10075358530.42</v>
      </c>
      <c r="L8" s="11">
        <v>9663061147.3400002</v>
      </c>
      <c r="M8" s="11">
        <v>12042955768.870001</v>
      </c>
      <c r="N8" s="11">
        <v>11638180672.360001</v>
      </c>
      <c r="O8" s="11">
        <v>12160502915.51</v>
      </c>
      <c r="P8" s="11">
        <v>11598973022.799999</v>
      </c>
      <c r="Q8" s="11">
        <v>11044871763.27</v>
      </c>
      <c r="R8" s="11">
        <v>10493107868.799999</v>
      </c>
      <c r="S8" s="11">
        <v>11922134725.719999</v>
      </c>
      <c r="T8" s="11">
        <v>11240407927.889999</v>
      </c>
      <c r="U8" s="11">
        <v>12771356228.110001</v>
      </c>
      <c r="V8" s="11">
        <v>12200537422.540001</v>
      </c>
      <c r="W8" s="11">
        <v>14356851478.139999</v>
      </c>
      <c r="X8" s="11">
        <v>13764837568.950001</v>
      </c>
      <c r="Y8" s="11">
        <v>13469101966.16</v>
      </c>
      <c r="Z8" s="11">
        <v>12836785645.059999</v>
      </c>
      <c r="AA8" s="13">
        <f t="shared" si="0"/>
        <v>132798018499.33</v>
      </c>
      <c r="AB8" s="11">
        <v>20434774732.75</v>
      </c>
      <c r="AC8" s="13">
        <f t="shared" si="1"/>
        <v>89728390.877925679</v>
      </c>
      <c r="AD8" s="13">
        <f t="shared" si="2"/>
        <v>13807280.224831082</v>
      </c>
    </row>
    <row r="9" spans="1:30" x14ac:dyDescent="0.3">
      <c r="A9">
        <v>8</v>
      </c>
      <c r="B9" t="s">
        <v>100</v>
      </c>
      <c r="C9" s="11">
        <v>10841647479.5</v>
      </c>
      <c r="D9" s="11">
        <v>10511408138.77</v>
      </c>
      <c r="E9" s="11">
        <v>10179714319.66</v>
      </c>
      <c r="F9" s="11">
        <v>9887978658.1200008</v>
      </c>
      <c r="G9" s="11">
        <v>10808917262.030001</v>
      </c>
      <c r="H9" s="11">
        <v>10593154396.110001</v>
      </c>
      <c r="I9" s="11">
        <v>11323449413.48</v>
      </c>
      <c r="J9" s="11">
        <v>11107686547.559999</v>
      </c>
      <c r="K9" s="11">
        <v>10841747012.040001</v>
      </c>
      <c r="L9" s="11">
        <v>10598663868.66</v>
      </c>
      <c r="M9" s="11">
        <v>12993452832.620001</v>
      </c>
      <c r="N9" s="11">
        <v>12777689966.700001</v>
      </c>
      <c r="O9" s="11">
        <v>12880059265.43</v>
      </c>
      <c r="P9" s="11">
        <v>12503212388.58</v>
      </c>
      <c r="Q9" s="11">
        <v>11533723679.6</v>
      </c>
      <c r="R9" s="11">
        <v>11156876802.75</v>
      </c>
      <c r="S9" s="11">
        <v>12457122432.059999</v>
      </c>
      <c r="T9" s="11">
        <v>11947038814.41</v>
      </c>
      <c r="U9" s="11">
        <v>13156012389.33</v>
      </c>
      <c r="V9" s="11">
        <v>12768023221.549999</v>
      </c>
      <c r="W9" s="11">
        <v>15569468582.059999</v>
      </c>
      <c r="X9" s="11">
        <v>15192621705.209999</v>
      </c>
      <c r="Y9" s="11">
        <v>13496124311.4</v>
      </c>
      <c r="Z9" s="11">
        <v>13044185582.83</v>
      </c>
      <c r="AA9" s="13">
        <f t="shared" si="0"/>
        <v>142088540091.25</v>
      </c>
      <c r="AB9" s="11">
        <v>27803527850.209999</v>
      </c>
      <c r="AC9" s="13">
        <f t="shared" si="1"/>
        <v>96005770.331925675</v>
      </c>
      <c r="AD9" s="13">
        <f t="shared" si="2"/>
        <v>18786167.466358107</v>
      </c>
    </row>
    <row r="10" spans="1:30" x14ac:dyDescent="0.3">
      <c r="A10">
        <v>9</v>
      </c>
      <c r="B10" t="s">
        <v>101</v>
      </c>
      <c r="C10" s="11">
        <v>8863292906.7299995</v>
      </c>
      <c r="D10" s="11">
        <v>6609028981.3199997</v>
      </c>
      <c r="E10" s="11">
        <v>8435010580.6000004</v>
      </c>
      <c r="F10" s="11">
        <v>5342119218.2600002</v>
      </c>
      <c r="G10" s="11">
        <v>8994712487.1499996</v>
      </c>
      <c r="H10" s="11">
        <v>6688878709.5900002</v>
      </c>
      <c r="I10" s="11">
        <v>9240600114.6800003</v>
      </c>
      <c r="J10" s="11">
        <v>6925552345.4799995</v>
      </c>
      <c r="K10" s="11">
        <v>8871493015.7900009</v>
      </c>
      <c r="L10" s="11">
        <v>6538630474.25</v>
      </c>
      <c r="M10" s="11">
        <v>10609169341.389999</v>
      </c>
      <c r="N10" s="11">
        <v>8283051716.3699999</v>
      </c>
      <c r="O10" s="11">
        <v>10776147121.91</v>
      </c>
      <c r="P10" s="11">
        <v>8136376124.6300001</v>
      </c>
      <c r="Q10" s="11">
        <v>9616910937.7299995</v>
      </c>
      <c r="R10" s="11">
        <v>6985896698.4099998</v>
      </c>
      <c r="S10" s="11">
        <v>10402954472.049999</v>
      </c>
      <c r="T10" s="11">
        <v>7655407988.6599998</v>
      </c>
      <c r="U10" s="11">
        <v>11081113794.860001</v>
      </c>
      <c r="V10" s="11">
        <v>8433013821.8900003</v>
      </c>
      <c r="W10" s="11">
        <v>12813706775.030001</v>
      </c>
      <c r="X10" s="11">
        <v>10146602048.219999</v>
      </c>
      <c r="Y10" s="11">
        <v>11378027096.129999</v>
      </c>
      <c r="Z10" s="11">
        <v>8674784899.4699993</v>
      </c>
      <c r="AA10" s="13">
        <f t="shared" si="0"/>
        <v>90419343026.550003</v>
      </c>
      <c r="AB10" s="11">
        <v>47018239529.330002</v>
      </c>
      <c r="AC10" s="13">
        <f t="shared" si="1"/>
        <v>61094150.69361487</v>
      </c>
      <c r="AD10" s="13">
        <f t="shared" si="2"/>
        <v>31769080.763060812</v>
      </c>
    </row>
    <row r="11" spans="1:30" x14ac:dyDescent="0.3">
      <c r="A11">
        <v>10</v>
      </c>
      <c r="B11" t="s">
        <v>102</v>
      </c>
      <c r="C11" s="11">
        <v>39591946631.610001</v>
      </c>
      <c r="D11" s="11">
        <v>38110900625.870003</v>
      </c>
      <c r="E11" s="11">
        <v>65250975283.870003</v>
      </c>
      <c r="F11" s="11">
        <v>62776473446.519997</v>
      </c>
      <c r="G11" s="11">
        <v>40403556525.540001</v>
      </c>
      <c r="H11" s="11">
        <v>37793841912.190002</v>
      </c>
      <c r="I11" s="11">
        <v>50536611902.099998</v>
      </c>
      <c r="J11" s="11">
        <v>47917596728.190002</v>
      </c>
      <c r="K11" s="11">
        <v>46416689762.940002</v>
      </c>
      <c r="L11" s="11">
        <v>43779683639.82</v>
      </c>
      <c r="M11" s="11">
        <v>42461764339.889999</v>
      </c>
      <c r="N11" s="11">
        <v>39831568700.419998</v>
      </c>
      <c r="O11" s="11">
        <v>47417578135.169998</v>
      </c>
      <c r="P11" s="11">
        <v>44848327324.470001</v>
      </c>
      <c r="Q11" s="11">
        <v>46258887175.419998</v>
      </c>
      <c r="R11" s="11">
        <v>43698478246.860001</v>
      </c>
      <c r="S11" s="11">
        <v>42570400978.010002</v>
      </c>
      <c r="T11" s="11">
        <v>39892326999</v>
      </c>
      <c r="U11" s="11">
        <v>55718470341.949997</v>
      </c>
      <c r="V11" s="11">
        <v>53140809589.849998</v>
      </c>
      <c r="W11" s="11">
        <v>72896515137.869995</v>
      </c>
      <c r="X11" s="11">
        <v>70299664887.289993</v>
      </c>
      <c r="Y11" s="11">
        <v>41730111476.330002</v>
      </c>
      <c r="Z11" s="11">
        <v>39096772464.650002</v>
      </c>
      <c r="AA11" s="13">
        <f t="shared" si="0"/>
        <v>561186444565.12988</v>
      </c>
      <c r="AB11" s="11">
        <v>157785188072.54999</v>
      </c>
      <c r="AC11" s="13">
        <f t="shared" si="1"/>
        <v>379180030.11157423</v>
      </c>
      <c r="AD11" s="13">
        <f t="shared" si="2"/>
        <v>106611613.56253378</v>
      </c>
    </row>
    <row r="12" spans="1:30" x14ac:dyDescent="0.3">
      <c r="A12">
        <v>11</v>
      </c>
      <c r="B12" t="s">
        <v>103</v>
      </c>
      <c r="C12" s="11">
        <v>8102805157.9200001</v>
      </c>
      <c r="D12" s="11">
        <v>7253160854.4399996</v>
      </c>
      <c r="E12" s="11">
        <v>7813853733.1700001</v>
      </c>
      <c r="F12" s="11">
        <v>6714439459.9899998</v>
      </c>
      <c r="G12" s="11">
        <v>8458049178.75</v>
      </c>
      <c r="H12" s="11">
        <v>7597796391.3000002</v>
      </c>
      <c r="I12" s="11">
        <v>8634741632.5100002</v>
      </c>
      <c r="J12" s="11">
        <v>7839508303.5699997</v>
      </c>
      <c r="K12" s="11">
        <v>8311064239.0500002</v>
      </c>
      <c r="L12" s="11">
        <v>7481769317.5900002</v>
      </c>
      <c r="M12" s="11">
        <v>9910452677.2299995</v>
      </c>
      <c r="N12" s="11">
        <v>9115219348.2900009</v>
      </c>
      <c r="O12" s="11">
        <v>10181441826.16</v>
      </c>
      <c r="P12" s="11">
        <v>8934685200.4899998</v>
      </c>
      <c r="Q12" s="11">
        <v>8854115190.4699993</v>
      </c>
      <c r="R12" s="11">
        <v>7605927819.3599997</v>
      </c>
      <c r="S12" s="11">
        <v>9462875780.7099991</v>
      </c>
      <c r="T12" s="11">
        <v>8122303697.4799995</v>
      </c>
      <c r="U12" s="11">
        <v>10297801532.040001</v>
      </c>
      <c r="V12" s="11">
        <v>9068095884.3199997</v>
      </c>
      <c r="W12" s="11">
        <v>11556612842.76</v>
      </c>
      <c r="X12" s="11">
        <v>10317018343.959999</v>
      </c>
      <c r="Y12" s="11">
        <v>10504064343.110001</v>
      </c>
      <c r="Z12" s="11">
        <v>9211490122.9899998</v>
      </c>
      <c r="AA12" s="13">
        <f t="shared" si="0"/>
        <v>99261414743.779984</v>
      </c>
      <c r="AB12" s="11">
        <v>13177829475.629999</v>
      </c>
      <c r="AC12" s="13">
        <f t="shared" si="1"/>
        <v>67068523.475527018</v>
      </c>
      <c r="AD12" s="13">
        <f t="shared" si="2"/>
        <v>8903938.8348851353</v>
      </c>
    </row>
    <row r="13" spans="1:30" x14ac:dyDescent="0.3">
      <c r="A13">
        <v>12</v>
      </c>
      <c r="B13" t="s">
        <v>104</v>
      </c>
      <c r="C13" s="11">
        <v>11839041334.030001</v>
      </c>
      <c r="D13" s="11">
        <v>10161852921.93</v>
      </c>
      <c r="E13" s="11">
        <v>14269349007.33</v>
      </c>
      <c r="F13" s="11">
        <v>11996594519.940001</v>
      </c>
      <c r="G13" s="11">
        <v>12176214007.360001</v>
      </c>
      <c r="H13" s="11">
        <v>10482766129.32</v>
      </c>
      <c r="I13" s="11">
        <v>13538739069.76</v>
      </c>
      <c r="J13" s="11">
        <v>11836723514.66</v>
      </c>
      <c r="K13" s="11">
        <v>12825076122.139999</v>
      </c>
      <c r="L13" s="11">
        <v>11106495410.190001</v>
      </c>
      <c r="M13" s="11">
        <v>14583068384.33</v>
      </c>
      <c r="N13" s="11">
        <v>12870759467.389999</v>
      </c>
      <c r="O13" s="11">
        <v>14435946802.059999</v>
      </c>
      <c r="P13" s="11">
        <v>11739975756.33</v>
      </c>
      <c r="Q13" s="11">
        <v>12847480436.27</v>
      </c>
      <c r="R13" s="11">
        <v>10159651906.549999</v>
      </c>
      <c r="S13" s="11">
        <v>13464680995.66</v>
      </c>
      <c r="T13" s="11">
        <v>10668494365.030001</v>
      </c>
      <c r="U13" s="11">
        <v>16048535150.139999</v>
      </c>
      <c r="V13" s="11">
        <v>13344819363.940001</v>
      </c>
      <c r="W13" s="11">
        <v>16545451415.360001</v>
      </c>
      <c r="X13" s="11">
        <v>13824063961.969999</v>
      </c>
      <c r="Y13" s="11">
        <v>14984249066.120001</v>
      </c>
      <c r="Z13" s="11">
        <v>12229259002.25</v>
      </c>
      <c r="AA13" s="13">
        <f t="shared" si="0"/>
        <v>140421456319.5</v>
      </c>
      <c r="AB13" s="11">
        <v>91151908548.190002</v>
      </c>
      <c r="AC13" s="13">
        <f t="shared" si="1"/>
        <v>94879362.378040537</v>
      </c>
      <c r="AD13" s="13">
        <f t="shared" si="2"/>
        <v>61589127.397425674</v>
      </c>
    </row>
    <row r="14" spans="1:30" x14ac:dyDescent="0.3">
      <c r="A14">
        <v>13</v>
      </c>
      <c r="B14" t="s">
        <v>105</v>
      </c>
      <c r="C14" s="11">
        <v>8225577758.3800001</v>
      </c>
      <c r="D14" s="11">
        <v>6965616394.2200003</v>
      </c>
      <c r="E14" s="11">
        <v>7854283391.6099997</v>
      </c>
      <c r="F14" s="11">
        <v>6226891967.6000004</v>
      </c>
      <c r="G14" s="11">
        <v>8464781381.8599997</v>
      </c>
      <c r="H14" s="11">
        <v>7144183245.8100004</v>
      </c>
      <c r="I14" s="11">
        <v>8772648881.2700005</v>
      </c>
      <c r="J14" s="11">
        <v>7452050745.2200003</v>
      </c>
      <c r="K14" s="11">
        <v>8374096752.4899998</v>
      </c>
      <c r="L14" s="11">
        <v>6968216225.4899998</v>
      </c>
      <c r="M14" s="11">
        <v>9902511463.1499996</v>
      </c>
      <c r="N14" s="11">
        <v>8581913327.1000004</v>
      </c>
      <c r="O14" s="11">
        <v>10110658796.15</v>
      </c>
      <c r="P14" s="11">
        <v>8205194617.6599998</v>
      </c>
      <c r="Q14" s="11">
        <v>9200617948.4799995</v>
      </c>
      <c r="R14" s="11">
        <v>7295153769.9899998</v>
      </c>
      <c r="S14" s="11">
        <v>9940874529.9799995</v>
      </c>
      <c r="T14" s="11">
        <v>7939524535.9399996</v>
      </c>
      <c r="U14" s="11">
        <v>10761329192.35</v>
      </c>
      <c r="V14" s="11">
        <v>8847846297.3600006</v>
      </c>
      <c r="W14" s="11">
        <v>11873887838.709999</v>
      </c>
      <c r="X14" s="11">
        <v>9968423660.2199993</v>
      </c>
      <c r="Y14" s="11">
        <v>10620425159.969999</v>
      </c>
      <c r="Z14" s="11">
        <v>8660920006</v>
      </c>
      <c r="AA14" s="13">
        <f t="shared" si="0"/>
        <v>94255934792.610016</v>
      </c>
      <c r="AB14" s="11">
        <v>35213748270.980003</v>
      </c>
      <c r="AC14" s="13">
        <f t="shared" si="1"/>
        <v>63686442.427439198</v>
      </c>
      <c r="AD14" s="13">
        <f t="shared" si="2"/>
        <v>23793073.156067569</v>
      </c>
    </row>
    <row r="15" spans="1:30" x14ac:dyDescent="0.3">
      <c r="A15">
        <v>14</v>
      </c>
      <c r="B15" t="s">
        <v>106</v>
      </c>
      <c r="C15" s="11">
        <v>9172409574.7299995</v>
      </c>
      <c r="D15" s="11">
        <v>8498104725.9899998</v>
      </c>
      <c r="E15" s="11">
        <v>8676685437.9599991</v>
      </c>
      <c r="F15" s="11">
        <v>7833915216.4899998</v>
      </c>
      <c r="G15" s="11">
        <v>9346035492.5599995</v>
      </c>
      <c r="H15" s="11">
        <v>8811307178.7900009</v>
      </c>
      <c r="I15" s="11">
        <v>9526475908.3600006</v>
      </c>
      <c r="J15" s="11">
        <v>8991747594.5900002</v>
      </c>
      <c r="K15" s="11">
        <v>9157589253.2199993</v>
      </c>
      <c r="L15" s="11">
        <v>8600747020.7600002</v>
      </c>
      <c r="M15" s="11">
        <v>10878075962.65</v>
      </c>
      <c r="N15" s="11">
        <v>10343347648.879999</v>
      </c>
      <c r="O15" s="11">
        <v>11126935582.26</v>
      </c>
      <c r="P15" s="11">
        <v>10002428094.09</v>
      </c>
      <c r="Q15" s="11">
        <v>9857490509.9500008</v>
      </c>
      <c r="R15" s="11">
        <v>8732983021.7800007</v>
      </c>
      <c r="S15" s="11">
        <v>10751217626.200001</v>
      </c>
      <c r="T15" s="11">
        <v>9518863998.5799999</v>
      </c>
      <c r="U15" s="11">
        <v>11493135292.26</v>
      </c>
      <c r="V15" s="11">
        <v>10359608872.42</v>
      </c>
      <c r="W15" s="11">
        <v>13116807434.49</v>
      </c>
      <c r="X15" s="11">
        <v>11992299946.32</v>
      </c>
      <c r="Y15" s="11">
        <v>11661187388.4</v>
      </c>
      <c r="Z15" s="11">
        <v>10475898119.889999</v>
      </c>
      <c r="AA15" s="13">
        <f t="shared" si="0"/>
        <v>114161251438.58</v>
      </c>
      <c r="AB15" s="11">
        <v>180500141598.35999</v>
      </c>
      <c r="AC15" s="13">
        <f t="shared" si="1"/>
        <v>77135980.701743245</v>
      </c>
      <c r="AD15" s="13">
        <f t="shared" si="2"/>
        <v>121959555.13402702</v>
      </c>
    </row>
    <row r="16" spans="1:30" x14ac:dyDescent="0.3">
      <c r="A16">
        <v>15</v>
      </c>
      <c r="B16" t="s">
        <v>107</v>
      </c>
      <c r="C16" s="11">
        <v>8371650352.4499998</v>
      </c>
      <c r="D16" s="11">
        <v>7059778287.6099997</v>
      </c>
      <c r="E16" s="11">
        <v>7985777043.9700003</v>
      </c>
      <c r="F16" s="11">
        <v>6584742005.7799997</v>
      </c>
      <c r="G16" s="11">
        <v>8691313347.0799999</v>
      </c>
      <c r="H16" s="11">
        <v>7299217506.8000002</v>
      </c>
      <c r="I16" s="11">
        <v>8789314123.0799999</v>
      </c>
      <c r="J16" s="11">
        <v>7379956962.9700003</v>
      </c>
      <c r="K16" s="11">
        <v>8522209338.5299997</v>
      </c>
      <c r="L16" s="11">
        <v>7007181336.71</v>
      </c>
      <c r="M16" s="11">
        <v>10042381170.110001</v>
      </c>
      <c r="N16" s="11">
        <v>8612285948.8400002</v>
      </c>
      <c r="O16" s="11">
        <v>10357810862.82</v>
      </c>
      <c r="P16" s="11">
        <v>8629419214.2800007</v>
      </c>
      <c r="Q16" s="11">
        <v>9224048448.4599991</v>
      </c>
      <c r="R16" s="11">
        <v>7512061546.7399998</v>
      </c>
      <c r="S16" s="11">
        <v>9873960732.2199993</v>
      </c>
      <c r="T16" s="11">
        <v>8044674254.8000002</v>
      </c>
      <c r="U16" s="11">
        <v>11300210122.92</v>
      </c>
      <c r="V16" s="11">
        <v>9011229697.4300003</v>
      </c>
      <c r="W16" s="11">
        <v>12068902461.84</v>
      </c>
      <c r="X16" s="11">
        <v>9735871665.4300003</v>
      </c>
      <c r="Y16" s="11">
        <v>10712224213.35</v>
      </c>
      <c r="Z16" s="11">
        <v>8459952447.6899996</v>
      </c>
      <c r="AA16" s="13">
        <f t="shared" si="0"/>
        <v>95336370875.080017</v>
      </c>
      <c r="AB16" s="11">
        <v>20724823840</v>
      </c>
      <c r="AC16" s="13">
        <f t="shared" si="1"/>
        <v>64416466.807486497</v>
      </c>
      <c r="AD16" s="13">
        <f t="shared" si="2"/>
        <v>14003259.351351351</v>
      </c>
    </row>
    <row r="17" spans="1:30" x14ac:dyDescent="0.3">
      <c r="A17">
        <v>16</v>
      </c>
      <c r="B17" t="s">
        <v>108</v>
      </c>
      <c r="C17" s="11">
        <v>10910701024.42</v>
      </c>
      <c r="D17" s="11">
        <v>9456966173.8099995</v>
      </c>
      <c r="E17" s="11">
        <v>11920777940.690001</v>
      </c>
      <c r="F17" s="11">
        <v>9845913688.1100006</v>
      </c>
      <c r="G17" s="11">
        <v>11175182800.1</v>
      </c>
      <c r="H17" s="11">
        <v>9396033500.5300007</v>
      </c>
      <c r="I17" s="11">
        <v>12049539121.43</v>
      </c>
      <c r="J17" s="11">
        <v>10260863088.93</v>
      </c>
      <c r="K17" s="11">
        <v>11526628150.370001</v>
      </c>
      <c r="L17" s="11">
        <v>9719532676.5200005</v>
      </c>
      <c r="M17" s="11">
        <v>12831479548.389999</v>
      </c>
      <c r="N17" s="11">
        <v>11031357927.02</v>
      </c>
      <c r="O17" s="11">
        <v>13645205165.719999</v>
      </c>
      <c r="P17" s="11">
        <v>10994947771.059999</v>
      </c>
      <c r="Q17" s="11">
        <v>12334313633.620001</v>
      </c>
      <c r="R17" s="11">
        <v>9693110218.7999992</v>
      </c>
      <c r="S17" s="11">
        <v>13064925125.190001</v>
      </c>
      <c r="T17" s="11">
        <v>10303234128.940001</v>
      </c>
      <c r="U17" s="11">
        <v>15325173702.6</v>
      </c>
      <c r="V17" s="11">
        <v>12666304630.17</v>
      </c>
      <c r="W17" s="11">
        <v>18532812152.349998</v>
      </c>
      <c r="X17" s="11">
        <v>15854293266.74</v>
      </c>
      <c r="Y17" s="11">
        <v>14121473476.74</v>
      </c>
      <c r="Z17" s="11">
        <v>11405590543.290001</v>
      </c>
      <c r="AA17" s="13">
        <f t="shared" si="0"/>
        <v>130628147613.92001</v>
      </c>
      <c r="AB17" s="11">
        <v>25270602765.459999</v>
      </c>
      <c r="AC17" s="13">
        <f t="shared" si="1"/>
        <v>88262261.901297301</v>
      </c>
      <c r="AD17" s="13">
        <f t="shared" si="2"/>
        <v>17074731.598283783</v>
      </c>
    </row>
    <row r="18" spans="1:30" x14ac:dyDescent="0.3">
      <c r="A18">
        <v>17</v>
      </c>
      <c r="B18" t="s">
        <v>109</v>
      </c>
      <c r="C18" s="11">
        <v>10139759370.620001</v>
      </c>
      <c r="D18" s="11">
        <v>9801665865.8700008</v>
      </c>
      <c r="E18" s="11">
        <v>9570345754.75</v>
      </c>
      <c r="F18" s="11">
        <v>9217341267.7999992</v>
      </c>
      <c r="G18" s="11">
        <v>10427448049.08</v>
      </c>
      <c r="H18" s="11">
        <v>10225326905</v>
      </c>
      <c r="I18" s="11">
        <v>10713306177.709999</v>
      </c>
      <c r="J18" s="11">
        <v>10511185033.629999</v>
      </c>
      <c r="K18" s="11">
        <v>10296447126.58</v>
      </c>
      <c r="L18" s="11">
        <v>10069735204.08</v>
      </c>
      <c r="M18" s="11">
        <v>12086597057.190001</v>
      </c>
      <c r="N18" s="11">
        <v>11884475913.110001</v>
      </c>
      <c r="O18" s="11">
        <v>12440144379.459999</v>
      </c>
      <c r="P18" s="11">
        <v>12061244940.1</v>
      </c>
      <c r="Q18" s="11">
        <v>10979183895.23</v>
      </c>
      <c r="R18" s="11">
        <v>10600284455.870001</v>
      </c>
      <c r="S18" s="11">
        <v>11954338435.280001</v>
      </c>
      <c r="T18" s="11">
        <v>11455513597.1</v>
      </c>
      <c r="U18" s="11">
        <v>13170049080.629999</v>
      </c>
      <c r="V18" s="11">
        <v>12781120548.129999</v>
      </c>
      <c r="W18" s="11">
        <v>14895506428.49</v>
      </c>
      <c r="X18" s="11">
        <v>14516066989.129999</v>
      </c>
      <c r="Y18" s="11">
        <v>13126570398.799999</v>
      </c>
      <c r="Z18" s="11">
        <v>12680081342.559999</v>
      </c>
      <c r="AA18" s="13">
        <f t="shared" si="0"/>
        <v>135804042062.38</v>
      </c>
      <c r="AB18" s="11">
        <v>62595576872.419945</v>
      </c>
      <c r="AC18" s="13">
        <f t="shared" si="1"/>
        <v>91759487.879986495</v>
      </c>
      <c r="AD18" s="13">
        <f t="shared" si="2"/>
        <v>42294308.697581045</v>
      </c>
    </row>
    <row r="19" spans="1:30" x14ac:dyDescent="0.3">
      <c r="A19">
        <v>18</v>
      </c>
      <c r="B19" t="s">
        <v>110</v>
      </c>
      <c r="C19" s="11">
        <v>11774594556.24</v>
      </c>
      <c r="D19" s="11">
        <v>7275420370.4899998</v>
      </c>
      <c r="E19" s="11">
        <v>11346757988.43</v>
      </c>
      <c r="F19" s="11">
        <v>3828666736.98</v>
      </c>
      <c r="G19" s="11">
        <v>12051015344.32</v>
      </c>
      <c r="H19" s="11">
        <v>7967031503.1000004</v>
      </c>
      <c r="I19" s="11">
        <v>12434419441.790001</v>
      </c>
      <c r="J19" s="11">
        <v>8326424765.3800001</v>
      </c>
      <c r="K19" s="11">
        <v>12107663251.4</v>
      </c>
      <c r="L19" s="11">
        <v>8120905522.25</v>
      </c>
      <c r="M19" s="11">
        <v>14184759009.959999</v>
      </c>
      <c r="N19" s="11">
        <v>10047917282.809999</v>
      </c>
      <c r="O19" s="11">
        <v>14612056520.27</v>
      </c>
      <c r="P19" s="11">
        <v>10218320526.860001</v>
      </c>
      <c r="Q19" s="11">
        <v>12838498132.639999</v>
      </c>
      <c r="R19" s="11">
        <v>8467581464.54</v>
      </c>
      <c r="S19" s="11">
        <v>13877517342.879999</v>
      </c>
      <c r="T19" s="11">
        <v>9343434659.1399994</v>
      </c>
      <c r="U19" s="11">
        <v>15093730586.48</v>
      </c>
      <c r="V19" s="11">
        <v>10690040279.09</v>
      </c>
      <c r="W19" s="11">
        <v>17121293479.209999</v>
      </c>
      <c r="X19" s="11">
        <v>12656328239.940001</v>
      </c>
      <c r="Y19" s="11">
        <v>15495517970.17</v>
      </c>
      <c r="Z19" s="11">
        <v>11142890130.209999</v>
      </c>
      <c r="AA19" s="13">
        <f t="shared" si="0"/>
        <v>108084961480.78998</v>
      </c>
      <c r="AB19" s="11">
        <v>71574658542.970001</v>
      </c>
      <c r="AC19" s="13">
        <f t="shared" si="1"/>
        <v>73030379.378912151</v>
      </c>
      <c r="AD19" s="13">
        <f t="shared" si="2"/>
        <v>48361255.772277027</v>
      </c>
    </row>
    <row r="20" spans="1:30" x14ac:dyDescent="0.3">
      <c r="A20">
        <v>19</v>
      </c>
      <c r="B20" t="s">
        <v>111</v>
      </c>
      <c r="C20" s="11">
        <v>15070979210.51</v>
      </c>
      <c r="D20" s="11">
        <v>13631662412.110001</v>
      </c>
      <c r="E20" s="11">
        <v>14466466132.190001</v>
      </c>
      <c r="F20" s="11">
        <v>12883930053.75</v>
      </c>
      <c r="G20" s="11">
        <v>15586113954.290001</v>
      </c>
      <c r="H20" s="11">
        <v>14455387857.799999</v>
      </c>
      <c r="I20" s="11">
        <v>15884329911.24</v>
      </c>
      <c r="J20" s="11">
        <v>14853603814.75</v>
      </c>
      <c r="K20" s="11">
        <v>15407221808.280001</v>
      </c>
      <c r="L20" s="11">
        <v>14341616840.719999</v>
      </c>
      <c r="M20" s="11">
        <v>17759296018.5</v>
      </c>
      <c r="N20" s="11">
        <v>16728569022.01</v>
      </c>
      <c r="O20" s="11">
        <v>18309566765.029999</v>
      </c>
      <c r="P20" s="11">
        <v>16551000960.75</v>
      </c>
      <c r="Q20" s="11">
        <v>16229865861.860001</v>
      </c>
      <c r="R20" s="11">
        <v>14471300057.58</v>
      </c>
      <c r="S20" s="11">
        <v>17849765417.360001</v>
      </c>
      <c r="T20" s="11">
        <v>15921100787.74</v>
      </c>
      <c r="U20" s="11">
        <v>19190507512.509998</v>
      </c>
      <c r="V20" s="11">
        <v>17417716723.540001</v>
      </c>
      <c r="W20" s="11">
        <v>22122625817.75</v>
      </c>
      <c r="X20" s="11">
        <v>20364060013.470001</v>
      </c>
      <c r="Y20" s="11">
        <v>19611698512.27</v>
      </c>
      <c r="Z20" s="11">
        <v>17757265489.290001</v>
      </c>
      <c r="AA20" s="13">
        <f t="shared" si="0"/>
        <v>189377214033.51001</v>
      </c>
      <c r="AB20" s="11">
        <v>74771014335.51001</v>
      </c>
      <c r="AC20" s="13">
        <f t="shared" si="1"/>
        <v>127957577.04966892</v>
      </c>
      <c r="AD20" s="13">
        <f t="shared" si="2"/>
        <v>50520955.632101357</v>
      </c>
    </row>
    <row r="21" spans="1:30" x14ac:dyDescent="0.3">
      <c r="A21">
        <v>20</v>
      </c>
      <c r="B21" t="s">
        <v>112</v>
      </c>
      <c r="C21" s="11">
        <v>11256371463.059999</v>
      </c>
      <c r="D21" s="11">
        <v>9785220488.9200001</v>
      </c>
      <c r="E21" s="11">
        <v>10775542330.129999</v>
      </c>
      <c r="F21" s="11">
        <v>9126520129.0300007</v>
      </c>
      <c r="G21" s="11">
        <v>11635163840.440001</v>
      </c>
      <c r="H21" s="11">
        <v>10397753255.139999</v>
      </c>
      <c r="I21" s="11">
        <v>11774230584.35</v>
      </c>
      <c r="J21" s="11">
        <v>10536819999.049999</v>
      </c>
      <c r="K21" s="11">
        <v>11409937170.59</v>
      </c>
      <c r="L21" s="11">
        <v>10145496452.870001</v>
      </c>
      <c r="M21" s="11">
        <v>13536923589.719999</v>
      </c>
      <c r="N21" s="11">
        <v>12299513004.42</v>
      </c>
      <c r="O21" s="11">
        <v>13778619916.440001</v>
      </c>
      <c r="P21" s="11">
        <v>12076396659.469999</v>
      </c>
      <c r="Q21" s="11">
        <v>12293527358.58</v>
      </c>
      <c r="R21" s="11">
        <v>10591304101.610001</v>
      </c>
      <c r="S21" s="11">
        <v>13194199019.190001</v>
      </c>
      <c r="T21" s="11">
        <v>11360154013.59</v>
      </c>
      <c r="U21" s="11">
        <v>14340047374.16</v>
      </c>
      <c r="V21" s="11">
        <v>12626800158.9</v>
      </c>
      <c r="W21" s="11">
        <v>16473346740.190001</v>
      </c>
      <c r="X21" s="11">
        <v>14771123483.219999</v>
      </c>
      <c r="Y21" s="11">
        <v>14721592842.309999</v>
      </c>
      <c r="Z21" s="11">
        <v>12945075219.219999</v>
      </c>
      <c r="AA21" s="13">
        <f t="shared" si="0"/>
        <v>136662176965.43999</v>
      </c>
      <c r="AB21" s="11">
        <v>39152790613.550003</v>
      </c>
      <c r="AC21" s="13">
        <f t="shared" si="1"/>
        <v>92339308.760432422</v>
      </c>
      <c r="AD21" s="13">
        <f t="shared" si="2"/>
        <v>26454588.252398651</v>
      </c>
    </row>
    <row r="22" spans="1:30" x14ac:dyDescent="0.3">
      <c r="A22">
        <v>21</v>
      </c>
      <c r="B22" t="s">
        <v>113</v>
      </c>
      <c r="C22" s="11">
        <v>9264441859.1800003</v>
      </c>
      <c r="D22" s="11">
        <v>8792190286.1399994</v>
      </c>
      <c r="E22" s="11">
        <v>8747134211.5599995</v>
      </c>
      <c r="F22" s="11">
        <v>8223557453.1300001</v>
      </c>
      <c r="G22" s="11">
        <v>9355393559.2399998</v>
      </c>
      <c r="H22" s="11">
        <v>9052453742.0699997</v>
      </c>
      <c r="I22" s="11">
        <v>9587240719.6900005</v>
      </c>
      <c r="J22" s="11">
        <v>9274657336.0900002</v>
      </c>
      <c r="K22" s="11">
        <v>9217508199.2600002</v>
      </c>
      <c r="L22" s="11">
        <v>8886250119.6900005</v>
      </c>
      <c r="M22" s="11">
        <v>11037307585.08</v>
      </c>
      <c r="N22" s="11">
        <v>10713100148.07</v>
      </c>
      <c r="O22" s="11">
        <v>11339088024.52</v>
      </c>
      <c r="P22" s="11">
        <v>10724530800.030001</v>
      </c>
      <c r="Q22" s="11">
        <v>9961547538.3799992</v>
      </c>
      <c r="R22" s="11">
        <v>9356218140.7800007</v>
      </c>
      <c r="S22" s="11">
        <v>10790581321.75</v>
      </c>
      <c r="T22" s="11">
        <v>10062918567.1</v>
      </c>
      <c r="U22" s="11">
        <v>11688238016.200001</v>
      </c>
      <c r="V22" s="11">
        <v>11065033594.450001</v>
      </c>
      <c r="W22" s="11">
        <v>13290907943.450001</v>
      </c>
      <c r="X22" s="11">
        <v>12647780734.360001</v>
      </c>
      <c r="Y22" s="11">
        <v>11797499016.15</v>
      </c>
      <c r="Z22" s="11">
        <v>11116458827.700001</v>
      </c>
      <c r="AA22" s="13">
        <f t="shared" si="0"/>
        <v>119915149749.61</v>
      </c>
      <c r="AB22" s="11">
        <v>16971704831.429998</v>
      </c>
      <c r="AC22" s="13">
        <f t="shared" si="1"/>
        <v>81023749.830817565</v>
      </c>
      <c r="AD22" s="13">
        <f t="shared" si="2"/>
        <v>11467368.129344594</v>
      </c>
    </row>
    <row r="23" spans="1:30" x14ac:dyDescent="0.3">
      <c r="A23">
        <v>22</v>
      </c>
      <c r="B23" t="s">
        <v>114</v>
      </c>
      <c r="C23" s="11">
        <v>9584152399.4699993</v>
      </c>
      <c r="D23" s="11">
        <v>7383431556.3500004</v>
      </c>
      <c r="E23" s="11">
        <v>9012790725.2000008</v>
      </c>
      <c r="F23" s="11">
        <v>6733231199.1599998</v>
      </c>
      <c r="G23" s="11">
        <v>9776281355.6000004</v>
      </c>
      <c r="H23" s="11">
        <v>7759780975.3500004</v>
      </c>
      <c r="I23" s="11">
        <v>9999500529.7000008</v>
      </c>
      <c r="J23" s="11">
        <v>8078175763.8699999</v>
      </c>
      <c r="K23" s="11">
        <v>9652599183.5699997</v>
      </c>
      <c r="L23" s="11">
        <v>7654591884.4799995</v>
      </c>
      <c r="M23" s="11">
        <v>11396582488.74</v>
      </c>
      <c r="N23" s="11">
        <v>9463090848.1700001</v>
      </c>
      <c r="O23" s="11">
        <v>11900400370.370001</v>
      </c>
      <c r="P23" s="11">
        <v>9473875869.9300003</v>
      </c>
      <c r="Q23" s="11">
        <v>10407652366.440001</v>
      </c>
      <c r="R23" s="11">
        <v>7990752415.6700001</v>
      </c>
      <c r="S23" s="11">
        <v>11337083445.790001</v>
      </c>
      <c r="T23" s="11">
        <v>10142230863.139999</v>
      </c>
      <c r="U23" s="11">
        <v>12085524493.549999</v>
      </c>
      <c r="V23" s="11">
        <v>10999973536.27</v>
      </c>
      <c r="W23" s="11">
        <v>13761274598.65</v>
      </c>
      <c r="X23" s="11">
        <v>12654835522.969999</v>
      </c>
      <c r="Y23" s="11">
        <v>12300871713.459999</v>
      </c>
      <c r="Z23" s="11">
        <v>11154713957.09</v>
      </c>
      <c r="AA23" s="13">
        <f t="shared" si="0"/>
        <v>109488684392.45</v>
      </c>
      <c r="AB23" s="11">
        <v>32012618177.800003</v>
      </c>
      <c r="AC23" s="13">
        <f t="shared" si="1"/>
        <v>73978840.805709451</v>
      </c>
      <c r="AD23" s="13">
        <f t="shared" si="2"/>
        <v>21630147.417432435</v>
      </c>
    </row>
    <row r="24" spans="1:30" x14ac:dyDescent="0.3">
      <c r="A24">
        <v>23</v>
      </c>
      <c r="B24" t="s">
        <v>115</v>
      </c>
      <c r="C24" s="11">
        <v>8242656371.4200001</v>
      </c>
      <c r="D24" s="11">
        <v>7273369663.6800003</v>
      </c>
      <c r="E24" s="11">
        <v>7953601543.5900002</v>
      </c>
      <c r="F24" s="11">
        <v>6708744766.2700005</v>
      </c>
      <c r="G24" s="11">
        <v>8708625109.2800007</v>
      </c>
      <c r="H24" s="11">
        <v>7679128156.1800003</v>
      </c>
      <c r="I24" s="11">
        <v>8680500704.0499992</v>
      </c>
      <c r="J24" s="11">
        <v>7642847426.8299999</v>
      </c>
      <c r="K24" s="11">
        <v>8309377318.8199997</v>
      </c>
      <c r="L24" s="11">
        <v>7255954214.2299995</v>
      </c>
      <c r="M24" s="11">
        <v>10013054279.200001</v>
      </c>
      <c r="N24" s="11">
        <v>8965601846.9899998</v>
      </c>
      <c r="O24" s="11">
        <v>10197536236.67</v>
      </c>
      <c r="P24" s="11">
        <v>8918395832.5799999</v>
      </c>
      <c r="Q24" s="11">
        <v>9090811081.9599991</v>
      </c>
      <c r="R24" s="11">
        <v>7819422253.8500004</v>
      </c>
      <c r="S24" s="11">
        <v>9936635739.7900009</v>
      </c>
      <c r="T24" s="11">
        <v>8562091320.5799999</v>
      </c>
      <c r="U24" s="11">
        <v>10608394757.950001</v>
      </c>
      <c r="V24" s="11">
        <v>9321881455.3299999</v>
      </c>
      <c r="W24" s="11">
        <v>11945814033.559999</v>
      </c>
      <c r="X24" s="11">
        <v>10642477519.209999</v>
      </c>
      <c r="Y24" s="11">
        <v>10557486493.85</v>
      </c>
      <c r="Z24" s="11">
        <v>9222160703.9699993</v>
      </c>
      <c r="AA24" s="13">
        <f t="shared" si="0"/>
        <v>100012075159.70001</v>
      </c>
      <c r="AB24" s="11">
        <v>71197075565.910004</v>
      </c>
      <c r="AC24" s="13">
        <f t="shared" si="1"/>
        <v>67575726.459256768</v>
      </c>
      <c r="AD24" s="13">
        <f t="shared" si="2"/>
        <v>48106132.13912838</v>
      </c>
    </row>
    <row r="25" spans="1:30" x14ac:dyDescent="0.3">
      <c r="A25">
        <v>24</v>
      </c>
      <c r="B25" t="s">
        <v>116</v>
      </c>
      <c r="C25" s="11">
        <v>35885123715.620003</v>
      </c>
      <c r="D25" s="11">
        <v>23624839736.459999</v>
      </c>
      <c r="E25" s="11">
        <v>38554382104.139999</v>
      </c>
      <c r="F25" s="11">
        <v>21205079995.459999</v>
      </c>
      <c r="G25" s="11">
        <v>42167271867.449997</v>
      </c>
      <c r="H25" s="11">
        <v>29283795849.919998</v>
      </c>
      <c r="I25" s="11">
        <v>41607735882.150002</v>
      </c>
      <c r="J25" s="11">
        <v>28724259864.619999</v>
      </c>
      <c r="K25" s="11">
        <v>39506745856.440002</v>
      </c>
      <c r="L25" s="11">
        <v>26598812369.599998</v>
      </c>
      <c r="M25" s="11">
        <v>49263050906.980003</v>
      </c>
      <c r="N25" s="11">
        <v>36379574889.449997</v>
      </c>
      <c r="O25" s="11">
        <v>52883789209.129997</v>
      </c>
      <c r="P25" s="11">
        <v>38284168797.010002</v>
      </c>
      <c r="Q25" s="11">
        <v>46172156179.43</v>
      </c>
      <c r="R25" s="11">
        <v>31572535767.310001</v>
      </c>
      <c r="S25" s="11">
        <v>43618738926.620003</v>
      </c>
      <c r="T25" s="11">
        <v>28875459021.689999</v>
      </c>
      <c r="U25" s="11">
        <v>46498484732.099998</v>
      </c>
      <c r="V25" s="11">
        <v>31886850397.59</v>
      </c>
      <c r="W25" s="11">
        <v>52925016655.139999</v>
      </c>
      <c r="X25" s="11">
        <v>38325396243.019997</v>
      </c>
      <c r="Y25" s="11">
        <v>53562319921.709999</v>
      </c>
      <c r="Z25" s="11">
        <v>38881733424.209999</v>
      </c>
      <c r="AA25" s="13">
        <f t="shared" si="0"/>
        <v>373642506356.34009</v>
      </c>
      <c r="AB25" s="11">
        <v>1261556415048.5601</v>
      </c>
      <c r="AC25" s="13">
        <f t="shared" si="1"/>
        <v>252461152.94347304</v>
      </c>
      <c r="AD25" s="13">
        <f t="shared" si="2"/>
        <v>852402983.14091897</v>
      </c>
    </row>
    <row r="26" spans="1:30" x14ac:dyDescent="0.3">
      <c r="A26">
        <v>25</v>
      </c>
      <c r="B26" t="s">
        <v>117</v>
      </c>
      <c r="C26" s="11">
        <v>8017086021.4799995</v>
      </c>
      <c r="D26" s="11">
        <v>7701449869.8900003</v>
      </c>
      <c r="E26" s="11">
        <v>7715542938.3599997</v>
      </c>
      <c r="F26" s="11">
        <v>7326513563.4399996</v>
      </c>
      <c r="G26" s="11">
        <v>8134872896.1800003</v>
      </c>
      <c r="H26" s="11">
        <v>7869510762.1000004</v>
      </c>
      <c r="I26" s="11">
        <v>8400487319.3599997</v>
      </c>
      <c r="J26" s="11">
        <v>8118225246.6599998</v>
      </c>
      <c r="K26" s="11">
        <v>8199146131.7399998</v>
      </c>
      <c r="L26" s="11">
        <v>7962655839.8900003</v>
      </c>
      <c r="M26" s="11">
        <v>9609899368.8299999</v>
      </c>
      <c r="N26" s="11">
        <v>9307333404.8700008</v>
      </c>
      <c r="O26" s="11">
        <v>9987321438.1599998</v>
      </c>
      <c r="P26" s="11">
        <v>9373714099.3999996</v>
      </c>
      <c r="Q26" s="11">
        <v>8730331453.1200008</v>
      </c>
      <c r="R26" s="11">
        <v>8132785413.1099997</v>
      </c>
      <c r="S26" s="11">
        <v>9416116865.8600006</v>
      </c>
      <c r="T26" s="11">
        <v>8703727021.9200001</v>
      </c>
      <c r="U26" s="11">
        <v>10138211303.190001</v>
      </c>
      <c r="V26" s="11">
        <v>9557158058.3999996</v>
      </c>
      <c r="W26" s="11">
        <v>11673283358.040001</v>
      </c>
      <c r="X26" s="11">
        <v>11049101976.34</v>
      </c>
      <c r="Y26" s="11">
        <v>10330449508.209999</v>
      </c>
      <c r="Z26" s="11">
        <v>9805916319.4899998</v>
      </c>
      <c r="AA26" s="13">
        <f t="shared" si="0"/>
        <v>104908091575.51001</v>
      </c>
      <c r="AB26" s="11">
        <v>25518692329.970001</v>
      </c>
      <c r="AC26" s="13">
        <f t="shared" si="1"/>
        <v>70883845.659128383</v>
      </c>
      <c r="AD26" s="13">
        <f t="shared" si="2"/>
        <v>17242359.682412162</v>
      </c>
    </row>
    <row r="27" spans="1:30" x14ac:dyDescent="0.3">
      <c r="A27">
        <v>26</v>
      </c>
      <c r="B27" t="s">
        <v>118</v>
      </c>
      <c r="C27" s="11">
        <v>10187156539.01</v>
      </c>
      <c r="D27" s="11">
        <v>8552817552.21</v>
      </c>
      <c r="E27" s="11">
        <v>9777482902.2999992</v>
      </c>
      <c r="F27" s="11">
        <v>8054130649.6599998</v>
      </c>
      <c r="G27" s="11">
        <v>10438083851.76</v>
      </c>
      <c r="H27" s="11">
        <v>9039168579.0599995</v>
      </c>
      <c r="I27" s="11">
        <v>10645335993.690001</v>
      </c>
      <c r="J27" s="11">
        <v>9235579024.5400009</v>
      </c>
      <c r="K27" s="11">
        <v>10580981129.07</v>
      </c>
      <c r="L27" s="11">
        <v>9150251274.4300003</v>
      </c>
      <c r="M27" s="11">
        <v>12355605505.6</v>
      </c>
      <c r="N27" s="11">
        <v>10932808814.290001</v>
      </c>
      <c r="O27" s="11">
        <v>12609761575.889999</v>
      </c>
      <c r="P27" s="11">
        <v>10728670008.559999</v>
      </c>
      <c r="Q27" s="11">
        <v>11033434454.940001</v>
      </c>
      <c r="R27" s="11">
        <v>9162670173.5</v>
      </c>
      <c r="S27" s="11">
        <v>12293357603.83</v>
      </c>
      <c r="T27" s="11">
        <v>10285336684.690001</v>
      </c>
      <c r="U27" s="11">
        <v>13664101713.92</v>
      </c>
      <c r="V27" s="11">
        <v>11773236140.450001</v>
      </c>
      <c r="W27" s="11">
        <v>14698500551.799999</v>
      </c>
      <c r="X27" s="11">
        <v>12785260906.049999</v>
      </c>
      <c r="Y27" s="11">
        <v>13352986666.33</v>
      </c>
      <c r="Z27" s="11">
        <v>11327581469.76</v>
      </c>
      <c r="AA27" s="13">
        <f t="shared" si="0"/>
        <v>121027511277.2</v>
      </c>
      <c r="AB27" s="11">
        <v>34660234106.709999</v>
      </c>
      <c r="AC27" s="13">
        <f t="shared" si="1"/>
        <v>81775345.457567573</v>
      </c>
      <c r="AD27" s="13">
        <f t="shared" si="2"/>
        <v>23419077.099128377</v>
      </c>
    </row>
    <row r="28" spans="1:30" x14ac:dyDescent="0.3">
      <c r="A28">
        <v>27</v>
      </c>
      <c r="B28" t="s">
        <v>119</v>
      </c>
      <c r="C28" s="11">
        <v>9083960305.6599998</v>
      </c>
      <c r="D28" s="11">
        <v>7100573273.2799997</v>
      </c>
      <c r="E28" s="11">
        <v>8733005428.1499996</v>
      </c>
      <c r="F28" s="11">
        <v>5286486562.8199997</v>
      </c>
      <c r="G28" s="11">
        <v>9484428299.3899994</v>
      </c>
      <c r="H28" s="11">
        <v>6708778384.25</v>
      </c>
      <c r="I28" s="11">
        <v>9519970505.2600002</v>
      </c>
      <c r="J28" s="11">
        <v>6744320590.1199999</v>
      </c>
      <c r="K28" s="11">
        <v>9135019371.2000008</v>
      </c>
      <c r="L28" s="11">
        <v>6338940360.8299999</v>
      </c>
      <c r="M28" s="11">
        <v>10939182342.17</v>
      </c>
      <c r="N28" s="11">
        <v>8163532427.0299997</v>
      </c>
      <c r="O28" s="11">
        <v>11424155640.709999</v>
      </c>
      <c r="P28" s="11">
        <v>11072561264.799999</v>
      </c>
      <c r="Q28" s="11">
        <v>9942455122.6800003</v>
      </c>
      <c r="R28" s="11">
        <v>6423860746.7700005</v>
      </c>
      <c r="S28" s="11">
        <v>10676446652.870001</v>
      </c>
      <c r="T28" s="11">
        <v>7058222759.29</v>
      </c>
      <c r="U28" s="11">
        <v>11679470626.34</v>
      </c>
      <c r="V28" s="11">
        <v>8152544456.4799995</v>
      </c>
      <c r="W28" s="11">
        <v>13021167097.280001</v>
      </c>
      <c r="X28" s="11">
        <v>9502572721.3700008</v>
      </c>
      <c r="Y28" s="11">
        <v>12138034064.370001</v>
      </c>
      <c r="Z28" s="11">
        <v>8563288773.0100002</v>
      </c>
      <c r="AA28" s="13">
        <f t="shared" si="0"/>
        <v>91115682320.049988</v>
      </c>
      <c r="AB28" s="11">
        <v>194933884872.57001</v>
      </c>
      <c r="AC28" s="13">
        <f t="shared" si="1"/>
        <v>61564650.216249995</v>
      </c>
      <c r="AD28" s="13">
        <f t="shared" si="2"/>
        <v>131712084.37335812</v>
      </c>
    </row>
    <row r="29" spans="1:30" x14ac:dyDescent="0.3">
      <c r="A29">
        <v>28</v>
      </c>
      <c r="B29" t="s">
        <v>120</v>
      </c>
      <c r="C29" s="11">
        <v>11536823678.540001</v>
      </c>
      <c r="D29" s="11">
        <v>10294732920.68</v>
      </c>
      <c r="E29" s="11">
        <v>13536304619.969999</v>
      </c>
      <c r="F29" s="11">
        <v>12118216951.48</v>
      </c>
      <c r="G29" s="11">
        <v>11704838313.700001</v>
      </c>
      <c r="H29" s="11">
        <v>10520977325.870001</v>
      </c>
      <c r="I29" s="11">
        <v>12729930780.68</v>
      </c>
      <c r="J29" s="11">
        <v>11627540200.940001</v>
      </c>
      <c r="K29" s="11">
        <v>12136606420</v>
      </c>
      <c r="L29" s="11">
        <v>11017724319.059999</v>
      </c>
      <c r="M29" s="11">
        <v>13513008925.040001</v>
      </c>
      <c r="N29" s="11">
        <v>12400370739.629999</v>
      </c>
      <c r="O29" s="11">
        <v>14209359796.16</v>
      </c>
      <c r="P29" s="11">
        <v>12801014595.34</v>
      </c>
      <c r="Q29" s="11">
        <v>12984288962.030001</v>
      </c>
      <c r="R29" s="11">
        <v>11584050082</v>
      </c>
      <c r="S29" s="11">
        <v>12994275010.299999</v>
      </c>
      <c r="T29" s="11">
        <v>11335926444.219999</v>
      </c>
      <c r="U29" s="11">
        <v>14600731853.629999</v>
      </c>
      <c r="V29" s="11">
        <v>13184676339.35</v>
      </c>
      <c r="W29" s="11">
        <v>16967744517.530001</v>
      </c>
      <c r="X29" s="11">
        <v>15534095890.379999</v>
      </c>
      <c r="Y29" s="11">
        <v>14122737240.15</v>
      </c>
      <c r="Z29" s="11">
        <v>12610635373.280001</v>
      </c>
      <c r="AA29" s="13">
        <f t="shared" si="0"/>
        <v>145029961182.23001</v>
      </c>
      <c r="AB29" s="11">
        <v>48639083021.579308</v>
      </c>
      <c r="AC29" s="13">
        <f t="shared" si="1"/>
        <v>97993217.015020281</v>
      </c>
      <c r="AD29" s="13">
        <f t="shared" si="2"/>
        <v>32864245.284850884</v>
      </c>
    </row>
    <row r="30" spans="1:30" x14ac:dyDescent="0.3">
      <c r="A30">
        <v>29</v>
      </c>
      <c r="B30" t="s">
        <v>121</v>
      </c>
      <c r="C30" s="11">
        <v>8690420968.9599991</v>
      </c>
      <c r="D30" s="11">
        <v>7820462813.96</v>
      </c>
      <c r="E30" s="11">
        <v>8324827308.9899998</v>
      </c>
      <c r="F30" s="11">
        <v>6041214664.4099998</v>
      </c>
      <c r="G30" s="11">
        <v>8979212063.6200008</v>
      </c>
      <c r="H30" s="11">
        <v>7262355876.54</v>
      </c>
      <c r="I30" s="11">
        <v>9146676642.2399998</v>
      </c>
      <c r="J30" s="11">
        <v>7529820455.1599998</v>
      </c>
      <c r="K30" s="11">
        <v>8780182488.6000004</v>
      </c>
      <c r="L30" s="11">
        <v>7143271712.21</v>
      </c>
      <c r="M30" s="11">
        <v>10551118975.51</v>
      </c>
      <c r="N30" s="11">
        <v>8934262788.4300003</v>
      </c>
      <c r="O30" s="11">
        <v>10897931916.790001</v>
      </c>
      <c r="P30" s="11">
        <v>8664105153.7900009</v>
      </c>
      <c r="Q30" s="11">
        <v>9670873628.5599995</v>
      </c>
      <c r="R30" s="11">
        <v>7437046865.5600004</v>
      </c>
      <c r="S30" s="11">
        <v>10269676197.209999</v>
      </c>
      <c r="T30" s="11">
        <v>7938046323.6400003</v>
      </c>
      <c r="U30" s="11">
        <v>11738901621.959999</v>
      </c>
      <c r="V30" s="11">
        <v>9496895803.3600006</v>
      </c>
      <c r="W30" s="11">
        <v>12494673187.23</v>
      </c>
      <c r="X30" s="11">
        <v>10260846424.23</v>
      </c>
      <c r="Y30" s="11">
        <v>11304100533.620001</v>
      </c>
      <c r="Z30" s="11">
        <v>9015152213.0599995</v>
      </c>
      <c r="AA30" s="13">
        <f t="shared" si="0"/>
        <v>97543481094.349991</v>
      </c>
      <c r="AB30" s="11">
        <v>54767845323.880005</v>
      </c>
      <c r="AC30" s="13">
        <f t="shared" si="1"/>
        <v>65907757.496182427</v>
      </c>
      <c r="AD30" s="13">
        <f t="shared" si="2"/>
        <v>37005300.894513518</v>
      </c>
    </row>
    <row r="31" spans="1:30" x14ac:dyDescent="0.3">
      <c r="A31">
        <v>30</v>
      </c>
      <c r="B31" t="s">
        <v>122</v>
      </c>
      <c r="C31" s="11">
        <v>13175775414.469999</v>
      </c>
      <c r="D31" s="11">
        <v>10555427197.09</v>
      </c>
      <c r="E31" s="11">
        <v>12774865475.799999</v>
      </c>
      <c r="F31" s="11">
        <v>9454868632.7700005</v>
      </c>
      <c r="G31" s="11">
        <v>13760469579.76</v>
      </c>
      <c r="H31" s="11">
        <v>11495003263.940001</v>
      </c>
      <c r="I31" s="11">
        <v>13965909374.09</v>
      </c>
      <c r="J31" s="11">
        <v>11700443058.27</v>
      </c>
      <c r="K31" s="11">
        <v>13471752002.02</v>
      </c>
      <c r="L31" s="11">
        <v>11181622481.68</v>
      </c>
      <c r="M31" s="11">
        <v>15304453910.58</v>
      </c>
      <c r="N31" s="11">
        <v>13038987594.76</v>
      </c>
      <c r="O31" s="11">
        <v>15938127787.77</v>
      </c>
      <c r="P31" s="11">
        <v>12455340796.16</v>
      </c>
      <c r="Q31" s="11">
        <v>14150407279.5</v>
      </c>
      <c r="R31" s="11">
        <v>10667620287.889999</v>
      </c>
      <c r="S31" s="11">
        <v>15356385846.99</v>
      </c>
      <c r="T31" s="11">
        <v>11753320245.74</v>
      </c>
      <c r="U31" s="11">
        <v>17153971355.370001</v>
      </c>
      <c r="V31" s="11">
        <v>13661125732.389999</v>
      </c>
      <c r="W31" s="11">
        <v>19807850978.169998</v>
      </c>
      <c r="X31" s="11">
        <v>16325063986.559999</v>
      </c>
      <c r="Y31" s="11">
        <v>17235302038.48</v>
      </c>
      <c r="Z31" s="11">
        <v>13684726361.360001</v>
      </c>
      <c r="AA31" s="13">
        <f t="shared" si="0"/>
        <v>145973549638.61002</v>
      </c>
      <c r="AB31" s="11">
        <v>65287038267.919998</v>
      </c>
      <c r="AC31" s="13">
        <f t="shared" si="1"/>
        <v>98630776.782844603</v>
      </c>
      <c r="AD31" s="13">
        <f t="shared" si="2"/>
        <v>44112863.694540538</v>
      </c>
    </row>
    <row r="32" spans="1:30" x14ac:dyDescent="0.3">
      <c r="A32">
        <v>31</v>
      </c>
      <c r="B32" t="s">
        <v>123</v>
      </c>
      <c r="C32" s="11">
        <v>9441358594.8600006</v>
      </c>
      <c r="D32" s="11">
        <v>7803001151.0699997</v>
      </c>
      <c r="E32" s="11">
        <v>8782061474.3199997</v>
      </c>
      <c r="F32" s="11">
        <v>6810085635.3400002</v>
      </c>
      <c r="G32" s="11">
        <v>9414895165.2000008</v>
      </c>
      <c r="H32" s="11">
        <v>7576950594.7799997</v>
      </c>
      <c r="I32" s="11">
        <v>9661128557.8600006</v>
      </c>
      <c r="J32" s="11">
        <v>7813615701.54</v>
      </c>
      <c r="K32" s="11">
        <v>9356043422.6900005</v>
      </c>
      <c r="L32" s="11">
        <v>7490030784.54</v>
      </c>
      <c r="M32" s="11">
        <v>11049938063.17</v>
      </c>
      <c r="N32" s="11">
        <v>9190929695.5</v>
      </c>
      <c r="O32" s="11">
        <v>11457504380.459999</v>
      </c>
      <c r="P32" s="11">
        <v>9372052109.9200001</v>
      </c>
      <c r="Q32" s="11">
        <v>10132634392.66</v>
      </c>
      <c r="R32" s="11">
        <v>8056275592.9099998</v>
      </c>
      <c r="S32" s="11">
        <v>10863232683.639999</v>
      </c>
      <c r="T32" s="11">
        <v>8665860769.0599995</v>
      </c>
      <c r="U32" s="11">
        <v>11686882729.889999</v>
      </c>
      <c r="V32" s="11">
        <v>9592781219.8400002</v>
      </c>
      <c r="W32" s="11">
        <v>13318538574.190001</v>
      </c>
      <c r="X32" s="11">
        <v>11204701543.91</v>
      </c>
      <c r="Y32" s="11">
        <v>11825011998.299999</v>
      </c>
      <c r="Z32" s="11">
        <v>9710683441.7299995</v>
      </c>
      <c r="AA32" s="13">
        <f t="shared" si="0"/>
        <v>103286968240.13998</v>
      </c>
      <c r="AB32" s="11">
        <v>31139826680.230003</v>
      </c>
      <c r="AC32" s="13">
        <f t="shared" si="1"/>
        <v>69788492.054148644</v>
      </c>
      <c r="AD32" s="13">
        <f t="shared" si="2"/>
        <v>21040423.43258784</v>
      </c>
    </row>
    <row r="33" spans="1:30" x14ac:dyDescent="0.3">
      <c r="A33">
        <v>32</v>
      </c>
      <c r="B33" t="s">
        <v>124</v>
      </c>
      <c r="C33" s="11">
        <v>30379786705.049999</v>
      </c>
      <c r="D33" s="11">
        <v>28377763964.630001</v>
      </c>
      <c r="E33" s="11">
        <v>44511470669.970001</v>
      </c>
      <c r="F33" s="11">
        <v>41710937891.190002</v>
      </c>
      <c r="G33" s="11">
        <v>35390673264.93</v>
      </c>
      <c r="H33" s="11">
        <v>33342187021.439999</v>
      </c>
      <c r="I33" s="11">
        <v>38142378247.650002</v>
      </c>
      <c r="J33" s="11">
        <v>36084010228.919998</v>
      </c>
      <c r="K33" s="11">
        <v>34570894968.519997</v>
      </c>
      <c r="L33" s="11">
        <v>32493421052.630001</v>
      </c>
      <c r="M33" s="11">
        <v>40785262623.839996</v>
      </c>
      <c r="N33" s="11">
        <v>38715022461.980003</v>
      </c>
      <c r="O33" s="11">
        <v>41191988437.769997</v>
      </c>
      <c r="P33" s="11">
        <v>36248078274.68</v>
      </c>
      <c r="Q33" s="11">
        <v>37800209533.870003</v>
      </c>
      <c r="R33" s="11">
        <v>32865690774.380001</v>
      </c>
      <c r="S33" s="11">
        <v>41092181722.940002</v>
      </c>
      <c r="T33" s="11">
        <v>36032685050.349998</v>
      </c>
      <c r="U33" s="11">
        <v>49518538758.809998</v>
      </c>
      <c r="V33" s="11">
        <v>44565695977.910004</v>
      </c>
      <c r="W33" s="11">
        <v>61204445995.139999</v>
      </c>
      <c r="X33" s="11">
        <v>56231221091.730003</v>
      </c>
      <c r="Y33" s="11">
        <v>49459948471.089996</v>
      </c>
      <c r="Z33" s="11">
        <v>44447967036.370003</v>
      </c>
      <c r="AA33" s="13">
        <f t="shared" si="0"/>
        <v>461114680826.20996</v>
      </c>
      <c r="AB33" s="11">
        <v>317303986832.38</v>
      </c>
      <c r="AC33" s="13">
        <f t="shared" si="1"/>
        <v>311563973.53122294</v>
      </c>
      <c r="AD33" s="13">
        <f t="shared" si="2"/>
        <v>214394585.69755405</v>
      </c>
    </row>
    <row r="34" spans="1:30" x14ac:dyDescent="0.3">
      <c r="A34">
        <v>33</v>
      </c>
      <c r="B34" t="s">
        <v>125</v>
      </c>
      <c r="C34" s="11">
        <v>9644660140.8199997</v>
      </c>
      <c r="D34" s="11">
        <v>8419016667.8299999</v>
      </c>
      <c r="E34" s="11">
        <v>9314271986.3099995</v>
      </c>
      <c r="F34" s="11">
        <v>8073524369.7600002</v>
      </c>
      <c r="G34" s="11">
        <v>9897217366.4500008</v>
      </c>
      <c r="H34" s="11">
        <v>8824968315.1800003</v>
      </c>
      <c r="I34" s="11">
        <v>10240950438.5</v>
      </c>
      <c r="J34" s="11">
        <v>9168701387.2299995</v>
      </c>
      <c r="K34" s="11">
        <v>9719678906.3500004</v>
      </c>
      <c r="L34" s="11">
        <v>8623195710.0499992</v>
      </c>
      <c r="M34" s="11">
        <v>11728671495.379999</v>
      </c>
      <c r="N34" s="11">
        <v>10656422444.110001</v>
      </c>
      <c r="O34" s="11">
        <v>12001515341.219999</v>
      </c>
      <c r="P34" s="11">
        <v>10714264666.73</v>
      </c>
      <c r="Q34" s="11">
        <v>10566436337.309999</v>
      </c>
      <c r="R34" s="11">
        <v>9279185662.8199997</v>
      </c>
      <c r="S34" s="11">
        <v>11614448689.65</v>
      </c>
      <c r="T34" s="11">
        <v>10209011861.879999</v>
      </c>
      <c r="U34" s="11">
        <v>12664080528.07</v>
      </c>
      <c r="V34" s="11">
        <v>11366946209.66</v>
      </c>
      <c r="W34" s="11">
        <v>14378730122.58</v>
      </c>
      <c r="X34" s="11">
        <v>13091479448.09</v>
      </c>
      <c r="Y34" s="11">
        <v>12353066239.24</v>
      </c>
      <c r="Z34" s="11">
        <v>11098746351.25</v>
      </c>
      <c r="AA34" s="13">
        <f t="shared" si="0"/>
        <v>119525463094.59</v>
      </c>
      <c r="AB34" s="11">
        <v>20845754441.540005</v>
      </c>
      <c r="AC34" s="13">
        <f t="shared" si="1"/>
        <v>80760448.036885127</v>
      </c>
      <c r="AD34" s="13">
        <f t="shared" si="2"/>
        <v>14084969.21725676</v>
      </c>
    </row>
    <row r="35" spans="1:30" x14ac:dyDescent="0.3">
      <c r="A35">
        <v>34</v>
      </c>
      <c r="B35" t="s">
        <v>126</v>
      </c>
      <c r="C35" s="11">
        <v>8509478472.7399998</v>
      </c>
      <c r="D35" s="11">
        <v>8091996216.6300001</v>
      </c>
      <c r="E35" s="11">
        <v>8589457771.0100002</v>
      </c>
      <c r="F35" s="11">
        <v>7943102276.7399998</v>
      </c>
      <c r="G35" s="11">
        <v>8502983590.7799997</v>
      </c>
      <c r="H35" s="11">
        <v>7971042211.0100002</v>
      </c>
      <c r="I35" s="11">
        <v>9792008224.7000008</v>
      </c>
      <c r="J35" s="11">
        <v>9242414212.5400009</v>
      </c>
      <c r="K35" s="11">
        <v>8613947301.8500004</v>
      </c>
      <c r="L35" s="11">
        <v>8051404500.7299995</v>
      </c>
      <c r="M35" s="11">
        <v>10270044479.9</v>
      </c>
      <c r="N35" s="11">
        <v>9699242276.6000004</v>
      </c>
      <c r="O35" s="11">
        <v>10232100677.940001</v>
      </c>
      <c r="P35" s="11">
        <v>9587549288.6299992</v>
      </c>
      <c r="Q35" s="11">
        <v>9193629541.7000008</v>
      </c>
      <c r="R35" s="11">
        <v>8565854793.3400002</v>
      </c>
      <c r="S35" s="11">
        <v>10022052092.93</v>
      </c>
      <c r="T35" s="11">
        <v>9274318598.0799999</v>
      </c>
      <c r="U35" s="11">
        <v>10715935784.43</v>
      </c>
      <c r="V35" s="11">
        <v>10064066038.879999</v>
      </c>
      <c r="W35" s="11">
        <v>12181935739.92</v>
      </c>
      <c r="X35" s="11">
        <v>11485017005.52</v>
      </c>
      <c r="Y35" s="11">
        <v>10916851936.35</v>
      </c>
      <c r="Z35" s="11">
        <v>10270679356.48</v>
      </c>
      <c r="AA35" s="13">
        <f t="shared" si="0"/>
        <v>110246686775.17999</v>
      </c>
      <c r="AB35" s="11">
        <v>17460514087.440002</v>
      </c>
      <c r="AC35" s="13">
        <f t="shared" si="1"/>
        <v>74491004.577824324</v>
      </c>
      <c r="AD35" s="13">
        <f t="shared" si="2"/>
        <v>11797644.653675677</v>
      </c>
    </row>
    <row r="36" spans="1:30" x14ac:dyDescent="0.3">
      <c r="A36">
        <v>35</v>
      </c>
      <c r="B36" t="s">
        <v>127</v>
      </c>
      <c r="C36" s="11">
        <v>8587412494.3900003</v>
      </c>
      <c r="D36" s="11">
        <v>7908825686.96</v>
      </c>
      <c r="E36" s="11">
        <v>8213931342.6700001</v>
      </c>
      <c r="F36" s="11">
        <v>7513164771.2200003</v>
      </c>
      <c r="G36" s="11">
        <v>8747774609.9500008</v>
      </c>
      <c r="H36" s="11">
        <v>7964371392.0100002</v>
      </c>
      <c r="I36" s="11">
        <v>8974903732.7999992</v>
      </c>
      <c r="J36" s="11">
        <v>8191590514.8599997</v>
      </c>
      <c r="K36" s="11">
        <v>8677534238.5499992</v>
      </c>
      <c r="L36" s="11">
        <v>7872385453.1000004</v>
      </c>
      <c r="M36" s="11">
        <v>10260744165.43</v>
      </c>
      <c r="N36" s="11">
        <v>9477430947.4899998</v>
      </c>
      <c r="O36" s="11">
        <v>10468152888.65</v>
      </c>
      <c r="P36" s="11">
        <v>9533954043.7099991</v>
      </c>
      <c r="Q36" s="11">
        <v>9300177803.0799999</v>
      </c>
      <c r="R36" s="11">
        <v>8366078958.1400003</v>
      </c>
      <c r="S36" s="11">
        <v>10092643241.41</v>
      </c>
      <c r="T36" s="11">
        <v>9052145732.3799992</v>
      </c>
      <c r="U36" s="11">
        <v>10957886969.24</v>
      </c>
      <c r="V36" s="11">
        <v>10015072715.26</v>
      </c>
      <c r="W36" s="11">
        <v>12396817004.77</v>
      </c>
      <c r="X36" s="11">
        <v>11462908159.83</v>
      </c>
      <c r="Y36" s="11">
        <v>10990557755.040001</v>
      </c>
      <c r="Z36" s="11">
        <v>9996832199.0599995</v>
      </c>
      <c r="AA36" s="13">
        <f t="shared" si="0"/>
        <v>107354760574.01999</v>
      </c>
      <c r="AB36" s="11">
        <v>11084367202.33</v>
      </c>
      <c r="AC36" s="13">
        <f t="shared" si="1"/>
        <v>72537000.387851343</v>
      </c>
      <c r="AD36" s="13">
        <f t="shared" si="2"/>
        <v>7489437.2988716215</v>
      </c>
    </row>
    <row r="37" spans="1:30" x14ac:dyDescent="0.3">
      <c r="A37">
        <v>36</v>
      </c>
      <c r="B37" t="s">
        <v>128</v>
      </c>
      <c r="C37" s="11">
        <v>8939915859.7000008</v>
      </c>
      <c r="D37" s="11">
        <v>7979779253.9499998</v>
      </c>
      <c r="E37" s="11">
        <v>8539668957.9099998</v>
      </c>
      <c r="F37" s="11">
        <v>7321072879.2299995</v>
      </c>
      <c r="G37" s="11">
        <v>9166607502.5799999</v>
      </c>
      <c r="H37" s="11">
        <v>8104242712.5500002</v>
      </c>
      <c r="I37" s="11">
        <v>9362424699.4300003</v>
      </c>
      <c r="J37" s="11">
        <v>8300099909.3999996</v>
      </c>
      <c r="K37" s="11">
        <v>9061931281.6000004</v>
      </c>
      <c r="L37" s="11">
        <v>8017094420.6700001</v>
      </c>
      <c r="M37" s="11">
        <v>10754583946.690001</v>
      </c>
      <c r="N37" s="11">
        <v>9692259156.6599998</v>
      </c>
      <c r="O37" s="11">
        <v>11475704442.639999</v>
      </c>
      <c r="P37" s="11">
        <v>10392415197.379999</v>
      </c>
      <c r="Q37" s="11">
        <v>9705560382.9899998</v>
      </c>
      <c r="R37" s="11">
        <v>8622311137.7299995</v>
      </c>
      <c r="S37" s="11">
        <v>10911374315.709999</v>
      </c>
      <c r="T37" s="11">
        <v>9721449616.6000004</v>
      </c>
      <c r="U37" s="11">
        <v>11448195146.549999</v>
      </c>
      <c r="V37" s="11">
        <v>10356101526.33</v>
      </c>
      <c r="W37" s="11">
        <v>13098371386.049999</v>
      </c>
      <c r="X37" s="11">
        <v>12015242140.790001</v>
      </c>
      <c r="Y37" s="11">
        <v>11618112717.389999</v>
      </c>
      <c r="Z37" s="11">
        <v>10474888943.02</v>
      </c>
      <c r="AA37" s="13">
        <f t="shared" si="0"/>
        <v>110996956894.31001</v>
      </c>
      <c r="AB37" s="11">
        <v>25455960759.329998</v>
      </c>
      <c r="AC37" s="13">
        <f t="shared" si="1"/>
        <v>74997943.847506762</v>
      </c>
      <c r="AD37" s="13">
        <f t="shared" si="2"/>
        <v>17199973.486033782</v>
      </c>
    </row>
    <row r="38" spans="1:30" x14ac:dyDescent="0.3">
      <c r="A38">
        <v>37</v>
      </c>
      <c r="B38" t="s">
        <v>62</v>
      </c>
      <c r="C38" s="11"/>
      <c r="D38" s="11">
        <v>10371411808.27</v>
      </c>
      <c r="E38" s="11"/>
      <c r="F38" s="11">
        <v>9474448845.3600006</v>
      </c>
      <c r="G38" s="11"/>
      <c r="H38" s="11">
        <v>10084608167.23</v>
      </c>
      <c r="I38" s="11">
        <v>10628248776.219999</v>
      </c>
      <c r="J38" s="11"/>
      <c r="K38" s="11"/>
      <c r="L38" s="11">
        <v>10119017193.049999</v>
      </c>
      <c r="M38" s="11"/>
      <c r="N38" s="11" t="s">
        <v>173</v>
      </c>
      <c r="O38" s="11"/>
      <c r="P38" s="11">
        <v>11972561505.4</v>
      </c>
      <c r="Q38" s="11"/>
      <c r="R38" s="11">
        <v>10533167381.450001</v>
      </c>
      <c r="S38" s="11"/>
      <c r="T38" s="11">
        <v>11574517713.540001</v>
      </c>
      <c r="V38" s="11">
        <v>12283358368.66</v>
      </c>
      <c r="W38" s="11"/>
      <c r="X38" s="11">
        <v>14831986341.059999</v>
      </c>
      <c r="Y38" s="11"/>
      <c r="Z38" s="11">
        <v>12604399403.709999</v>
      </c>
      <c r="AA38" s="13">
        <f t="shared" si="0"/>
        <v>113849476727.73001</v>
      </c>
      <c r="AB38" s="11">
        <v>282364055025.73999</v>
      </c>
      <c r="AC38" s="13">
        <f t="shared" si="1"/>
        <v>76925322.113331094</v>
      </c>
      <c r="AD38" s="13">
        <f t="shared" si="2"/>
        <v>190786523.66604054</v>
      </c>
    </row>
    <row r="39" spans="1:30" x14ac:dyDescent="0.3">
      <c r="AA39" s="13">
        <f>SUM(AA2:AA38)</f>
        <v>5949233422223.8584</v>
      </c>
      <c r="AC39" s="13">
        <f t="shared" si="1"/>
        <v>4019752312.3134179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74A-5412-46B6-AB36-7C6066297840}">
  <dimension ref="A1:AC39"/>
  <sheetViews>
    <sheetView tabSelected="1" workbookViewId="0">
      <selection activeCell="H2" sqref="H2"/>
    </sheetView>
  </sheetViews>
  <sheetFormatPr defaultRowHeight="14.4" x14ac:dyDescent="0.3"/>
  <cols>
    <col min="3" max="26" width="17.21875" bestFit="1" customWidth="1"/>
    <col min="27" max="27" width="19.6640625" bestFit="1" customWidth="1"/>
    <col min="28" max="28" width="14.6640625" bestFit="1" customWidth="1"/>
  </cols>
  <sheetData>
    <row r="1" spans="1:29" x14ac:dyDescent="0.3">
      <c r="A1" t="s">
        <v>68</v>
      </c>
      <c r="B1" t="s">
        <v>1</v>
      </c>
      <c r="C1" t="s">
        <v>174</v>
      </c>
      <c r="D1" t="s">
        <v>151</v>
      </c>
      <c r="E1" t="s">
        <v>71</v>
      </c>
      <c r="F1" t="s">
        <v>153</v>
      </c>
      <c r="G1" t="s">
        <v>73</v>
      </c>
      <c r="H1" t="s">
        <v>155</v>
      </c>
      <c r="I1" t="s">
        <v>75</v>
      </c>
      <c r="J1" t="s">
        <v>189</v>
      </c>
      <c r="K1" t="s">
        <v>77</v>
      </c>
      <c r="L1" t="s">
        <v>159</v>
      </c>
      <c r="M1" t="s">
        <v>175</v>
      </c>
      <c r="N1" t="s">
        <v>176</v>
      </c>
      <c r="O1" t="s">
        <v>177</v>
      </c>
      <c r="P1" t="s">
        <v>139</v>
      </c>
      <c r="Q1" t="s">
        <v>178</v>
      </c>
      <c r="R1" t="s">
        <v>165</v>
      </c>
      <c r="S1" t="s">
        <v>85</v>
      </c>
      <c r="T1" t="s">
        <v>167</v>
      </c>
      <c r="U1" t="s">
        <v>179</v>
      </c>
      <c r="V1" t="s">
        <v>180</v>
      </c>
      <c r="W1" t="s">
        <v>89</v>
      </c>
      <c r="X1" t="s">
        <v>181</v>
      </c>
      <c r="Y1" t="s">
        <v>91</v>
      </c>
      <c r="Z1" t="s">
        <v>92</v>
      </c>
      <c r="AA1" t="s">
        <v>66</v>
      </c>
      <c r="AB1" t="s">
        <v>185</v>
      </c>
      <c r="AC1" t="s">
        <v>186</v>
      </c>
    </row>
    <row r="2" spans="1:29" x14ac:dyDescent="0.3">
      <c r="A2">
        <v>1</v>
      </c>
      <c r="B2" t="s">
        <v>93</v>
      </c>
      <c r="C2" s="11">
        <v>14745018620.41</v>
      </c>
      <c r="D2" s="11">
        <v>13777064595.110001</v>
      </c>
      <c r="E2" s="11">
        <v>14472974158.540001</v>
      </c>
      <c r="F2" s="11">
        <v>13492098044.6</v>
      </c>
      <c r="G2" s="11">
        <v>13895316022.09</v>
      </c>
      <c r="H2" s="11">
        <v>13044308572.799999</v>
      </c>
      <c r="I2" s="11">
        <v>14909522799.51</v>
      </c>
      <c r="J2" s="11">
        <v>13907234346.66</v>
      </c>
      <c r="K2" s="11">
        <v>14875801937.950001</v>
      </c>
      <c r="L2" s="11">
        <v>13892961542.530001</v>
      </c>
      <c r="M2" s="11">
        <v>15414470535.82</v>
      </c>
      <c r="N2" s="11">
        <v>14544834198.84</v>
      </c>
      <c r="O2" s="11">
        <v>16200629411.23</v>
      </c>
      <c r="P2" s="11">
        <v>15457996124.17</v>
      </c>
      <c r="Q2" s="11">
        <v>18192713495.27</v>
      </c>
      <c r="R2" s="11">
        <v>17438114195.529999</v>
      </c>
      <c r="S2" s="11">
        <v>17970769468.619999</v>
      </c>
      <c r="T2" s="11">
        <v>17236856587.68</v>
      </c>
      <c r="U2" s="11">
        <v>17457506129.23</v>
      </c>
      <c r="V2" s="11">
        <v>16711948382.280001</v>
      </c>
      <c r="W2" s="11">
        <v>16041926832.92</v>
      </c>
      <c r="X2" s="11">
        <v>15293389731.51</v>
      </c>
      <c r="Y2" s="11">
        <v>17405584100.130001</v>
      </c>
      <c r="Z2" s="11">
        <v>16681942091.66</v>
      </c>
      <c r="AA2" s="13">
        <f>SUM(D2,F2,H2,J2,L2,N2,P2,R2,T2,V2,X2,Z2)</f>
        <v>181478748413.37</v>
      </c>
      <c r="AB2" s="13">
        <f>AA2/1544</f>
        <v>117538049.4905246</v>
      </c>
    </row>
    <row r="3" spans="1:29" x14ac:dyDescent="0.3">
      <c r="A3">
        <v>2</v>
      </c>
      <c r="B3" t="s">
        <v>94</v>
      </c>
      <c r="C3" s="11">
        <v>14018909839.02</v>
      </c>
      <c r="D3" s="11">
        <v>12798324096.360001</v>
      </c>
      <c r="E3" s="11">
        <v>13226342552.360001</v>
      </c>
      <c r="F3" s="11">
        <v>11997644614.92</v>
      </c>
      <c r="G3" s="11">
        <v>12785190930.1</v>
      </c>
      <c r="H3" s="11">
        <v>11688028538.540001</v>
      </c>
      <c r="I3" s="11">
        <v>13366235038.75</v>
      </c>
      <c r="J3" s="11">
        <v>12114224761.719999</v>
      </c>
      <c r="K3" s="11">
        <v>13723650062.219999</v>
      </c>
      <c r="L3" s="11">
        <v>12485228396.15</v>
      </c>
      <c r="M3" s="11">
        <v>15297644075.49</v>
      </c>
      <c r="N3" s="11">
        <v>14200530425.969999</v>
      </c>
      <c r="O3" s="11">
        <v>15871048275.969999</v>
      </c>
      <c r="P3" s="11">
        <v>14803024996.08</v>
      </c>
      <c r="Q3" s="11">
        <v>17351081310.360001</v>
      </c>
      <c r="R3" s="11">
        <v>16283079288.200001</v>
      </c>
      <c r="S3" s="11">
        <v>16979854231.870001</v>
      </c>
      <c r="T3" s="11">
        <v>15911873632.92</v>
      </c>
      <c r="U3" s="11">
        <v>16632905008.41</v>
      </c>
      <c r="V3" s="11">
        <v>15564945999.559999</v>
      </c>
      <c r="W3" s="11">
        <v>15081437643.66</v>
      </c>
      <c r="X3" s="11">
        <v>14013500393.18</v>
      </c>
      <c r="Y3" s="11">
        <v>17548302024.32</v>
      </c>
      <c r="Z3" s="11">
        <v>16480386702.030001</v>
      </c>
      <c r="AA3" s="13">
        <f t="shared" ref="AA3:AA38" si="0">SUM(D3,F3,H3,J3,L3,N3,P3,R3,T3,V3,X3,Z3)</f>
        <v>168340791845.63</v>
      </c>
      <c r="AB3" s="13">
        <f t="shared" ref="AB3:AB39" si="1">AA3/1544</f>
        <v>109029010.26271373</v>
      </c>
    </row>
    <row r="4" spans="1:29" x14ac:dyDescent="0.3">
      <c r="A4">
        <v>3</v>
      </c>
      <c r="B4" t="s">
        <v>95</v>
      </c>
      <c r="C4" s="11">
        <v>39521477661.5</v>
      </c>
      <c r="D4" s="11">
        <v>37955343748.099998</v>
      </c>
      <c r="E4" s="11">
        <v>40941407218.300003</v>
      </c>
      <c r="F4" s="11">
        <v>39361440858.029999</v>
      </c>
      <c r="G4" s="11">
        <v>40399777986.080002</v>
      </c>
      <c r="H4" s="11">
        <v>38959295941.029999</v>
      </c>
      <c r="I4" s="11">
        <v>46211298901.330002</v>
      </c>
      <c r="J4" s="11">
        <v>44608427126.129997</v>
      </c>
      <c r="K4" s="11">
        <v>39547110907.260002</v>
      </c>
      <c r="L4" s="11">
        <v>37965163923.779999</v>
      </c>
      <c r="M4" s="11">
        <v>40335294434.779999</v>
      </c>
      <c r="N4" s="11">
        <v>38874939707.150002</v>
      </c>
      <c r="O4" s="11">
        <v>41729062989.730003</v>
      </c>
      <c r="P4" s="11">
        <v>40385478964.230003</v>
      </c>
      <c r="Q4" s="11">
        <v>56264906585.400002</v>
      </c>
      <c r="R4" s="11">
        <v>54908518599.389999</v>
      </c>
      <c r="S4" s="11">
        <v>44471176436.860001</v>
      </c>
      <c r="T4" s="11">
        <v>43137044197.410004</v>
      </c>
      <c r="U4" s="11">
        <v>44417266120.889999</v>
      </c>
      <c r="V4" s="11">
        <v>43070675404.860001</v>
      </c>
      <c r="W4" s="11">
        <v>44215825957.230003</v>
      </c>
      <c r="X4" s="11">
        <v>42866081382.449997</v>
      </c>
      <c r="Y4" s="11">
        <v>37212077282.709999</v>
      </c>
      <c r="Z4" s="11">
        <v>35889108374.860001</v>
      </c>
      <c r="AA4" s="13">
        <f t="shared" si="0"/>
        <v>497981518227.41998</v>
      </c>
      <c r="AB4" s="13">
        <f t="shared" si="1"/>
        <v>322526890.04366577</v>
      </c>
    </row>
    <row r="5" spans="1:29" x14ac:dyDescent="0.3">
      <c r="A5">
        <v>4</v>
      </c>
      <c r="B5" t="s">
        <v>96</v>
      </c>
      <c r="C5" s="11">
        <v>16679116172.32</v>
      </c>
      <c r="D5" s="11">
        <v>15984387837.129999</v>
      </c>
      <c r="E5" s="11">
        <v>15347361450.07</v>
      </c>
      <c r="F5" s="11">
        <v>14644515861.459999</v>
      </c>
      <c r="G5" s="11">
        <v>15348925600.34</v>
      </c>
      <c r="H5" s="11">
        <v>14777335184.65</v>
      </c>
      <c r="I5" s="11">
        <v>16150450805.889999</v>
      </c>
      <c r="J5" s="11">
        <v>15424295566.65</v>
      </c>
      <c r="K5" s="11">
        <v>16597962890.98</v>
      </c>
      <c r="L5" s="11">
        <v>15885350075.26</v>
      </c>
      <c r="M5" s="11">
        <v>17429432676.310001</v>
      </c>
      <c r="N5" s="11">
        <v>16857842260.620001</v>
      </c>
      <c r="O5" s="11">
        <v>18823098483.32</v>
      </c>
      <c r="P5" s="11">
        <v>18271596334.119999</v>
      </c>
      <c r="Q5" s="11">
        <v>20608888611.529999</v>
      </c>
      <c r="R5" s="11">
        <v>20057386462.330002</v>
      </c>
      <c r="S5" s="11">
        <v>19973221829.34</v>
      </c>
      <c r="T5" s="11">
        <v>19421719680.139999</v>
      </c>
      <c r="U5" s="11">
        <v>19838721244.610001</v>
      </c>
      <c r="V5" s="11">
        <v>19287219095.41</v>
      </c>
      <c r="W5" s="11">
        <v>16709401383.450001</v>
      </c>
      <c r="X5" s="11">
        <v>16157899234.25</v>
      </c>
      <c r="Y5" s="11">
        <v>18357681864.619999</v>
      </c>
      <c r="Z5" s="11">
        <v>17844720697.540001</v>
      </c>
      <c r="AA5" s="13">
        <f t="shared" si="0"/>
        <v>204614268289.56</v>
      </c>
      <c r="AB5" s="13">
        <f t="shared" si="1"/>
        <v>132522194.48805699</v>
      </c>
    </row>
    <row r="6" spans="1:29" x14ac:dyDescent="0.3">
      <c r="A6">
        <v>5</v>
      </c>
      <c r="B6" t="s">
        <v>97</v>
      </c>
      <c r="C6" s="11">
        <v>16256094072.08</v>
      </c>
      <c r="D6" s="11">
        <v>12547295181.870001</v>
      </c>
      <c r="E6" s="11">
        <v>15531456766.02</v>
      </c>
      <c r="F6" s="11">
        <v>11812892547.99</v>
      </c>
      <c r="G6" s="11">
        <v>14708348188.77</v>
      </c>
      <c r="H6" s="11">
        <v>11551092538.370001</v>
      </c>
      <c r="I6" s="11">
        <v>15366190241.66</v>
      </c>
      <c r="J6" s="11">
        <v>11216179535.9</v>
      </c>
      <c r="K6" s="11">
        <v>15830185942.299999</v>
      </c>
      <c r="L6" s="11">
        <v>12099871422.809999</v>
      </c>
      <c r="M6" s="11">
        <v>16933126483</v>
      </c>
      <c r="N6" s="11">
        <v>13372466635.549999</v>
      </c>
      <c r="O6" s="11">
        <v>18566175637.869999</v>
      </c>
      <c r="P6" s="11">
        <v>14903415538.1</v>
      </c>
      <c r="Q6" s="11">
        <v>19879306924.16</v>
      </c>
      <c r="R6" s="11">
        <v>15721521431.58</v>
      </c>
      <c r="S6" s="11">
        <v>19899121480.669998</v>
      </c>
      <c r="T6" s="11">
        <v>15540418869.290001</v>
      </c>
      <c r="U6" s="11">
        <v>19217492552.060001</v>
      </c>
      <c r="V6" s="11">
        <v>14858789940.68</v>
      </c>
      <c r="W6" s="11">
        <v>17264664014.02</v>
      </c>
      <c r="X6" s="11">
        <v>12905961402.639999</v>
      </c>
      <c r="Y6" s="11">
        <v>19342426628.790001</v>
      </c>
      <c r="Z6" s="11">
        <v>14983724017.43</v>
      </c>
      <c r="AA6" s="13">
        <f t="shared" si="0"/>
        <v>161513629062.21002</v>
      </c>
      <c r="AB6" s="13">
        <f t="shared" si="1"/>
        <v>104607272.70868525</v>
      </c>
    </row>
    <row r="7" spans="1:29" x14ac:dyDescent="0.3">
      <c r="A7">
        <v>6</v>
      </c>
      <c r="B7" t="s">
        <v>98</v>
      </c>
      <c r="C7" s="11">
        <v>40466860194.260002</v>
      </c>
      <c r="D7" s="11">
        <v>38628274302.220001</v>
      </c>
      <c r="E7" s="11">
        <v>40906963090.849998</v>
      </c>
      <c r="F7" s="11">
        <v>39056166728.769997</v>
      </c>
      <c r="G7" s="11">
        <v>40695081891.440002</v>
      </c>
      <c r="H7" s="11">
        <v>38967002334.910004</v>
      </c>
      <c r="I7" s="11">
        <v>43447305677.07</v>
      </c>
      <c r="J7" s="11">
        <v>41576276152.25</v>
      </c>
      <c r="K7" s="11">
        <v>38060171232.760002</v>
      </c>
      <c r="L7" s="11">
        <v>36207518762.07</v>
      </c>
      <c r="M7" s="11">
        <v>40593501974.68</v>
      </c>
      <c r="N7" s="11">
        <v>38847819422.099998</v>
      </c>
      <c r="O7" s="11">
        <v>43216857459</v>
      </c>
      <c r="P7" s="11">
        <v>41524461097.389999</v>
      </c>
      <c r="Q7" s="11">
        <v>56645273064.68</v>
      </c>
      <c r="R7" s="11">
        <v>54941569657.959999</v>
      </c>
      <c r="S7" s="11">
        <v>43190190460.449997</v>
      </c>
      <c r="T7" s="11">
        <v>41506034272.75</v>
      </c>
      <c r="U7" s="11">
        <v>45161195613.150002</v>
      </c>
      <c r="V7" s="11">
        <v>43466035841.470001</v>
      </c>
      <c r="W7" s="11">
        <v>39935440712.669998</v>
      </c>
      <c r="X7" s="11">
        <v>38237465659.400002</v>
      </c>
      <c r="Y7" s="11">
        <v>36911943272.690002</v>
      </c>
      <c r="Z7" s="11">
        <v>35237492341.18</v>
      </c>
      <c r="AA7" s="13">
        <f t="shared" si="0"/>
        <v>488196116572.47003</v>
      </c>
      <c r="AB7" s="13">
        <f t="shared" si="1"/>
        <v>316189194.67128891</v>
      </c>
    </row>
    <row r="8" spans="1:29" x14ac:dyDescent="0.3">
      <c r="A8">
        <v>7</v>
      </c>
      <c r="B8" t="s">
        <v>99</v>
      </c>
      <c r="C8" s="11">
        <v>15423696190.91</v>
      </c>
      <c r="D8" s="11">
        <v>14778276225.99</v>
      </c>
      <c r="E8" s="11">
        <v>15809831378.940001</v>
      </c>
      <c r="F8" s="11">
        <v>15148935057.43</v>
      </c>
      <c r="G8" s="11">
        <v>13727752921.780001</v>
      </c>
      <c r="H8" s="11">
        <v>13222395988.690001</v>
      </c>
      <c r="I8" s="11">
        <v>14872677729.120001</v>
      </c>
      <c r="J8" s="11">
        <v>14186136560.17</v>
      </c>
      <c r="K8" s="11">
        <v>14964771874.889999</v>
      </c>
      <c r="L8" s="11">
        <v>14301522998.67</v>
      </c>
      <c r="M8" s="11">
        <v>16175596282.370001</v>
      </c>
      <c r="N8" s="11">
        <v>15647928148.879999</v>
      </c>
      <c r="O8" s="11">
        <v>17793675670.330002</v>
      </c>
      <c r="P8" s="11">
        <v>17292006135.450001</v>
      </c>
      <c r="Q8" s="11">
        <v>18913113625.599998</v>
      </c>
      <c r="R8" s="11">
        <v>18397112794.580002</v>
      </c>
      <c r="S8" s="11">
        <v>19519861864.509998</v>
      </c>
      <c r="T8" s="11">
        <v>19028636470.540001</v>
      </c>
      <c r="U8" s="11">
        <v>18141587501.150002</v>
      </c>
      <c r="V8" s="11">
        <v>17636415437.740002</v>
      </c>
      <c r="W8" s="11">
        <v>16171403189.879999</v>
      </c>
      <c r="X8" s="11">
        <v>15662662852.549999</v>
      </c>
      <c r="Y8" s="11">
        <v>19051211315.549999</v>
      </c>
      <c r="Z8" s="11">
        <v>18572287004.59</v>
      </c>
      <c r="AA8" s="13">
        <f t="shared" si="0"/>
        <v>193874315675.27997</v>
      </c>
      <c r="AB8" s="13">
        <f t="shared" si="1"/>
        <v>125566266.62906733</v>
      </c>
    </row>
    <row r="9" spans="1:29" x14ac:dyDescent="0.3">
      <c r="A9">
        <v>8</v>
      </c>
      <c r="B9" t="s">
        <v>100</v>
      </c>
      <c r="C9" s="11">
        <v>16334111494.23</v>
      </c>
      <c r="D9" s="11">
        <v>15820943569.93</v>
      </c>
      <c r="E9" s="11">
        <v>15319400892.66</v>
      </c>
      <c r="F9" s="11">
        <v>14827227379.610001</v>
      </c>
      <c r="G9" s="11">
        <v>14787930224.33</v>
      </c>
      <c r="H9" s="11">
        <v>14459769969.209999</v>
      </c>
      <c r="I9" s="11">
        <v>15280061689.389999</v>
      </c>
      <c r="J9" s="11">
        <v>14758761006.280001</v>
      </c>
      <c r="K9" s="11">
        <v>15534109264.559999</v>
      </c>
      <c r="L9" s="11">
        <v>15029730863.09</v>
      </c>
      <c r="M9" s="11">
        <v>17147570067.690001</v>
      </c>
      <c r="N9" s="11">
        <v>16819409812.57</v>
      </c>
      <c r="O9" s="11">
        <v>18583805036.700001</v>
      </c>
      <c r="P9" s="11">
        <v>18280395874.110001</v>
      </c>
      <c r="Q9" s="11">
        <v>20083275304.07</v>
      </c>
      <c r="R9" s="11">
        <v>19779866141.48</v>
      </c>
      <c r="S9" s="11">
        <v>20138588204.810001</v>
      </c>
      <c r="T9" s="11">
        <v>19835179042.220001</v>
      </c>
      <c r="U9" s="11">
        <v>19316369352.150002</v>
      </c>
      <c r="V9" s="11">
        <v>19012960189.560001</v>
      </c>
      <c r="W9" s="11">
        <v>17389890977.939999</v>
      </c>
      <c r="X9" s="11">
        <v>17086481815.35</v>
      </c>
      <c r="Y9" s="11">
        <v>19365720944.169998</v>
      </c>
      <c r="Z9" s="11">
        <v>19062311781.580002</v>
      </c>
      <c r="AA9" s="13">
        <f t="shared" si="0"/>
        <v>204773037444.98999</v>
      </c>
      <c r="AB9" s="13">
        <f t="shared" si="1"/>
        <v>132625024.25193653</v>
      </c>
    </row>
    <row r="10" spans="1:29" x14ac:dyDescent="0.3">
      <c r="A10">
        <v>9</v>
      </c>
      <c r="B10" t="s">
        <v>101</v>
      </c>
      <c r="C10" s="11">
        <v>13611347830.08</v>
      </c>
      <c r="D10" s="11">
        <v>10768626066.889999</v>
      </c>
      <c r="E10" s="11">
        <v>13001846308.690001</v>
      </c>
      <c r="F10" s="11">
        <v>10145247550.469999</v>
      </c>
      <c r="G10" s="11">
        <v>12171764098.43</v>
      </c>
      <c r="H10" s="11">
        <v>8942283166.4599991</v>
      </c>
      <c r="I10" s="11">
        <v>12885871280.950001</v>
      </c>
      <c r="J10" s="11">
        <v>9493930100.3299999</v>
      </c>
      <c r="K10" s="11">
        <v>13260582708.07</v>
      </c>
      <c r="L10" s="11">
        <v>9889526742.1700001</v>
      </c>
      <c r="M10" s="11">
        <v>14294252554.49</v>
      </c>
      <c r="N10" s="11">
        <v>11044766111.85</v>
      </c>
      <c r="O10" s="11">
        <v>15692237930.309999</v>
      </c>
      <c r="P10" s="11">
        <v>12165027470.790001</v>
      </c>
      <c r="Q10" s="11">
        <v>16698713232.75</v>
      </c>
      <c r="R10" s="11">
        <v>13158652505.52</v>
      </c>
      <c r="S10" s="11">
        <v>16720860429.01</v>
      </c>
      <c r="T10" s="11">
        <v>13203014789.34</v>
      </c>
      <c r="U10" s="11">
        <v>16069654503.719999</v>
      </c>
      <c r="V10" s="11">
        <v>12539303474.860001</v>
      </c>
      <c r="W10" s="11">
        <v>14343777366.440001</v>
      </c>
      <c r="X10" s="11">
        <v>10810226817.120001</v>
      </c>
      <c r="Y10" s="11">
        <v>16141951962.389999</v>
      </c>
      <c r="Z10" s="11">
        <v>12635136184.08</v>
      </c>
      <c r="AA10" s="13">
        <f t="shared" si="0"/>
        <v>134795740979.87999</v>
      </c>
      <c r="AB10" s="13">
        <f t="shared" si="1"/>
        <v>87302941.049145073</v>
      </c>
    </row>
    <row r="11" spans="1:29" x14ac:dyDescent="0.3">
      <c r="A11">
        <v>10</v>
      </c>
      <c r="B11" t="s">
        <v>102</v>
      </c>
      <c r="C11" s="11">
        <v>50762962691.709999</v>
      </c>
      <c r="D11" s="11">
        <v>48017936267.970001</v>
      </c>
      <c r="E11" s="11">
        <v>53707383436.260002</v>
      </c>
      <c r="F11" s="11">
        <v>50948345119.650002</v>
      </c>
      <c r="G11" s="11">
        <v>53556929594.290001</v>
      </c>
      <c r="H11" s="11">
        <v>50938712616.010002</v>
      </c>
      <c r="I11" s="11">
        <v>61634903650.440002</v>
      </c>
      <c r="J11" s="11">
        <v>58852647152.400002</v>
      </c>
      <c r="K11" s="11">
        <v>54864850691.809998</v>
      </c>
      <c r="L11" s="11">
        <v>52103682433.019997</v>
      </c>
      <c r="M11" s="11">
        <v>52302780104.489998</v>
      </c>
      <c r="N11" s="11">
        <v>49664363142.580002</v>
      </c>
      <c r="O11" s="11">
        <v>53333958167.029999</v>
      </c>
      <c r="P11" s="11">
        <v>50702659380.160004</v>
      </c>
      <c r="Q11" s="11">
        <v>75040151515.75</v>
      </c>
      <c r="R11" s="11">
        <v>72395877544.119995</v>
      </c>
      <c r="S11" s="11">
        <v>62692583133.18</v>
      </c>
      <c r="T11" s="11">
        <v>60070740201.300003</v>
      </c>
      <c r="U11" s="11">
        <v>64800054362.93</v>
      </c>
      <c r="V11" s="11">
        <v>62165584477.339996</v>
      </c>
      <c r="W11" s="11">
        <v>57316121451.019997</v>
      </c>
      <c r="X11" s="11">
        <v>54715748506.099998</v>
      </c>
      <c r="Y11" s="11">
        <v>49727827965.730003</v>
      </c>
      <c r="Z11" s="11">
        <v>47154449679.709999</v>
      </c>
      <c r="AA11" s="13">
        <f t="shared" si="0"/>
        <v>657730746520.35999</v>
      </c>
      <c r="AB11" s="13">
        <f t="shared" si="1"/>
        <v>425991416.14012951</v>
      </c>
    </row>
    <row r="12" spans="1:29" x14ac:dyDescent="0.3">
      <c r="A12">
        <v>11</v>
      </c>
      <c r="B12" t="s">
        <v>103</v>
      </c>
      <c r="C12" s="11">
        <v>12608618445.969999</v>
      </c>
      <c r="D12" s="11">
        <v>11445301463.68</v>
      </c>
      <c r="E12" s="11">
        <v>12191328247.870001</v>
      </c>
      <c r="F12" s="11">
        <v>11018131327.280001</v>
      </c>
      <c r="G12" s="11">
        <v>11202548505.27</v>
      </c>
      <c r="H12" s="11">
        <v>10140859375.440001</v>
      </c>
      <c r="I12" s="11">
        <v>11850229134.190001</v>
      </c>
      <c r="J12" s="11">
        <v>10450523320.969999</v>
      </c>
      <c r="K12" s="11">
        <v>12145181165.360001</v>
      </c>
      <c r="L12" s="11">
        <v>10762906586.549999</v>
      </c>
      <c r="M12" s="11">
        <v>13159029954.889999</v>
      </c>
      <c r="N12" s="11">
        <v>11902056362.49</v>
      </c>
      <c r="O12" s="11">
        <v>14391962234.42</v>
      </c>
      <c r="P12" s="11">
        <v>12572319916.9</v>
      </c>
      <c r="Q12" s="11">
        <v>15401813295.059999</v>
      </c>
      <c r="R12" s="11">
        <v>13576983827.67</v>
      </c>
      <c r="S12" s="11">
        <v>15332226560.74</v>
      </c>
      <c r="T12" s="11">
        <v>13518290576.5</v>
      </c>
      <c r="U12" s="11">
        <v>14807171011.959999</v>
      </c>
      <c r="V12" s="11">
        <v>12988193778.040001</v>
      </c>
      <c r="W12" s="11">
        <v>13339051586.139999</v>
      </c>
      <c r="X12" s="11">
        <v>11516606204.15</v>
      </c>
      <c r="Y12" s="11">
        <v>14920597128.469999</v>
      </c>
      <c r="Z12" s="11">
        <v>13196782748.18</v>
      </c>
      <c r="AA12" s="13">
        <f t="shared" si="0"/>
        <v>143088955487.84998</v>
      </c>
      <c r="AB12" s="13">
        <f t="shared" si="1"/>
        <v>92674193.968814746</v>
      </c>
    </row>
    <row r="13" spans="1:29" x14ac:dyDescent="0.3">
      <c r="A13">
        <v>12</v>
      </c>
      <c r="B13" t="s">
        <v>104</v>
      </c>
      <c r="C13" s="11">
        <v>18558864365.009998</v>
      </c>
      <c r="D13" s="11">
        <v>16044582306.76</v>
      </c>
      <c r="E13" s="11">
        <v>17879765789.790001</v>
      </c>
      <c r="F13" s="11">
        <v>15352580137</v>
      </c>
      <c r="G13" s="11">
        <v>15633412242.15</v>
      </c>
      <c r="H13" s="11">
        <v>13235909385.83</v>
      </c>
      <c r="I13" s="11">
        <v>18039727835.560001</v>
      </c>
      <c r="J13" s="11">
        <v>15491160489.26</v>
      </c>
      <c r="K13" s="11">
        <v>17108806155.379999</v>
      </c>
      <c r="L13" s="11">
        <v>14579659032.4</v>
      </c>
      <c r="M13" s="11">
        <v>18803503122.630001</v>
      </c>
      <c r="N13" s="11">
        <v>16387198040.280001</v>
      </c>
      <c r="O13" s="11">
        <v>20003123091.82</v>
      </c>
      <c r="P13" s="11">
        <v>17839508460.279999</v>
      </c>
      <c r="Q13" s="11">
        <v>22490652540.630001</v>
      </c>
      <c r="R13" s="11">
        <v>20315089022.189999</v>
      </c>
      <c r="S13" s="11">
        <v>21112995379.619999</v>
      </c>
      <c r="T13" s="11">
        <v>18958088673.540001</v>
      </c>
      <c r="U13" s="11">
        <v>20944673061.610001</v>
      </c>
      <c r="V13" s="11">
        <v>18778138155.669998</v>
      </c>
      <c r="W13" s="11">
        <v>18088887563.880001</v>
      </c>
      <c r="X13" s="11">
        <v>15919377567.540001</v>
      </c>
      <c r="Y13" s="11">
        <v>18998547304.490002</v>
      </c>
      <c r="Z13" s="11">
        <v>16853896771.200001</v>
      </c>
      <c r="AA13" s="13">
        <f t="shared" si="0"/>
        <v>199755188041.95004</v>
      </c>
      <c r="AB13" s="13">
        <f t="shared" si="1"/>
        <v>129375121.78882775</v>
      </c>
    </row>
    <row r="14" spans="1:29" x14ac:dyDescent="0.3">
      <c r="A14">
        <v>13</v>
      </c>
      <c r="B14" t="s">
        <v>105</v>
      </c>
      <c r="C14" s="11">
        <v>13000422025.639999</v>
      </c>
      <c r="D14" s="11">
        <v>9846921489.7299995</v>
      </c>
      <c r="E14" s="11">
        <v>12305650669.52</v>
      </c>
      <c r="F14" s="11">
        <v>9780014630.6900005</v>
      </c>
      <c r="G14" s="11">
        <v>11298492110.34</v>
      </c>
      <c r="H14" s="11">
        <v>8890890668.4500008</v>
      </c>
      <c r="I14" s="11">
        <v>11828291391.65</v>
      </c>
      <c r="J14" s="11">
        <v>9281693548.75</v>
      </c>
      <c r="K14" s="11">
        <v>12562847132.02</v>
      </c>
      <c r="L14" s="11">
        <v>10028427662.49</v>
      </c>
      <c r="M14" s="11">
        <v>13179386516.35</v>
      </c>
      <c r="N14" s="11">
        <v>10771285074.459999</v>
      </c>
      <c r="O14" s="11">
        <v>14460157645.459999</v>
      </c>
      <c r="P14" s="11">
        <v>12235026055.77</v>
      </c>
      <c r="Q14" s="11">
        <v>15443108757.09</v>
      </c>
      <c r="R14" s="11">
        <v>13217977167.4</v>
      </c>
      <c r="S14" s="11">
        <v>15599227446.290001</v>
      </c>
      <c r="T14" s="11">
        <v>13374095856.6</v>
      </c>
      <c r="U14" s="11">
        <v>15430908982.52</v>
      </c>
      <c r="V14" s="11">
        <v>13205777392.83</v>
      </c>
      <c r="W14" s="11">
        <v>13233168641.450001</v>
      </c>
      <c r="X14" s="11">
        <v>11008037051.76</v>
      </c>
      <c r="Y14" s="11">
        <v>15566011050.09</v>
      </c>
      <c r="Z14" s="11">
        <v>6685302539.6000004</v>
      </c>
      <c r="AA14" s="13">
        <f t="shared" si="0"/>
        <v>128325449138.53</v>
      </c>
      <c r="AB14" s="13">
        <f t="shared" si="1"/>
        <v>83112337.524954662</v>
      </c>
    </row>
    <row r="15" spans="1:29" x14ac:dyDescent="0.3">
      <c r="A15">
        <v>14</v>
      </c>
      <c r="B15" t="s">
        <v>106</v>
      </c>
      <c r="C15" s="11">
        <v>13956405516.459999</v>
      </c>
      <c r="D15" s="11">
        <v>13309689333.43</v>
      </c>
      <c r="E15" s="11">
        <v>13387693400.83</v>
      </c>
      <c r="F15" s="11">
        <v>12732767046.200001</v>
      </c>
      <c r="G15" s="11">
        <v>12619855300.879999</v>
      </c>
      <c r="H15" s="11">
        <v>12097686596.879999</v>
      </c>
      <c r="I15" s="11">
        <v>13229915184.52</v>
      </c>
      <c r="J15" s="11">
        <v>12551412353.719999</v>
      </c>
      <c r="K15" s="11">
        <v>13530863522.389999</v>
      </c>
      <c r="L15" s="11">
        <v>12866058135.209999</v>
      </c>
      <c r="M15" s="11">
        <v>14660983526.48</v>
      </c>
      <c r="N15" s="11">
        <v>14138814822.48</v>
      </c>
      <c r="O15" s="11">
        <v>15875002877.610001</v>
      </c>
      <c r="P15" s="11">
        <v>15018091766.02</v>
      </c>
      <c r="Q15" s="11">
        <v>17054783177.33</v>
      </c>
      <c r="R15" s="11">
        <v>16197872065.74</v>
      </c>
      <c r="S15" s="11">
        <v>17299559722.130001</v>
      </c>
      <c r="T15" s="11">
        <v>16442648610.540001</v>
      </c>
      <c r="U15" s="11">
        <v>16650338236.280001</v>
      </c>
      <c r="V15" s="11">
        <v>15793427124.690001</v>
      </c>
      <c r="W15" s="11">
        <v>14752455028.139999</v>
      </c>
      <c r="X15" s="11">
        <v>13895543916.549999</v>
      </c>
      <c r="Y15" s="11">
        <v>16578697089.01</v>
      </c>
      <c r="Z15" s="11">
        <v>15721785977.42</v>
      </c>
      <c r="AA15" s="13">
        <f t="shared" si="0"/>
        <v>170765797748.88</v>
      </c>
      <c r="AB15" s="13">
        <f t="shared" si="1"/>
        <v>110599609.94098446</v>
      </c>
    </row>
    <row r="16" spans="1:29" x14ac:dyDescent="0.3">
      <c r="A16">
        <v>15</v>
      </c>
      <c r="B16" t="s">
        <v>107</v>
      </c>
      <c r="C16" s="11">
        <v>12878591077.08</v>
      </c>
      <c r="D16" s="11">
        <v>10794775671.790001</v>
      </c>
      <c r="E16" s="11">
        <v>12317463194.700001</v>
      </c>
      <c r="F16" s="11">
        <v>10220649337.77</v>
      </c>
      <c r="G16" s="11">
        <v>11535859347.219999</v>
      </c>
      <c r="H16" s="11">
        <v>9569681613.1000004</v>
      </c>
      <c r="I16" s="11">
        <v>12314200372.15</v>
      </c>
      <c r="J16" s="11">
        <v>10195847640.23</v>
      </c>
      <c r="K16" s="11">
        <v>12664549765.530001</v>
      </c>
      <c r="L16" s="11">
        <v>10565760019.200001</v>
      </c>
      <c r="M16" s="11">
        <v>13623839005.219999</v>
      </c>
      <c r="N16" s="11">
        <v>11638922296.07</v>
      </c>
      <c r="O16" s="11">
        <v>15107971584.370001</v>
      </c>
      <c r="P16" s="11">
        <v>12936598383.43</v>
      </c>
      <c r="Q16" s="11">
        <v>15974065378.040001</v>
      </c>
      <c r="R16" s="11">
        <v>13790655451.34</v>
      </c>
      <c r="S16" s="11">
        <v>15947986403.129999</v>
      </c>
      <c r="T16" s="11">
        <v>13785385141.5</v>
      </c>
      <c r="U16" s="11">
        <v>15339752755.52</v>
      </c>
      <c r="V16" s="11">
        <v>13165437812.530001</v>
      </c>
      <c r="W16" s="11">
        <v>13497359162.83</v>
      </c>
      <c r="X16" s="11">
        <v>11320047258.9</v>
      </c>
      <c r="Y16" s="11">
        <v>15317027768.33</v>
      </c>
      <c r="Z16" s="11">
        <v>13164758074.84</v>
      </c>
      <c r="AA16" s="13">
        <f t="shared" si="0"/>
        <v>141148518700.69998</v>
      </c>
      <c r="AB16" s="13">
        <f t="shared" si="1"/>
        <v>91417434.391645059</v>
      </c>
    </row>
    <row r="17" spans="1:28" x14ac:dyDescent="0.3">
      <c r="A17">
        <v>16</v>
      </c>
      <c r="B17" t="s">
        <v>108</v>
      </c>
      <c r="C17" s="11">
        <v>17205012064.419998</v>
      </c>
      <c r="D17" s="11">
        <v>14752352734.709999</v>
      </c>
      <c r="E17" s="11">
        <v>17251415660.5</v>
      </c>
      <c r="F17" s="11">
        <v>14784408322.799999</v>
      </c>
      <c r="G17" s="11">
        <v>16358229069.9</v>
      </c>
      <c r="H17" s="11">
        <v>14035421070.959999</v>
      </c>
      <c r="I17" s="11">
        <v>17370831241.869999</v>
      </c>
      <c r="J17" s="11">
        <v>14880048768.610001</v>
      </c>
      <c r="K17" s="11">
        <v>17266000641.220001</v>
      </c>
      <c r="L17" s="11">
        <v>14796812268.629999</v>
      </c>
      <c r="M17" s="11">
        <v>17516258801.509998</v>
      </c>
      <c r="N17" s="11">
        <v>15172766264.870001</v>
      </c>
      <c r="O17" s="11">
        <v>19417912112.790001</v>
      </c>
      <c r="P17" s="11">
        <v>17176511106.860001</v>
      </c>
      <c r="Q17" s="11">
        <v>22388139953.73</v>
      </c>
      <c r="R17" s="11">
        <v>20133452516.32</v>
      </c>
      <c r="S17" s="11">
        <v>21601582258.049999</v>
      </c>
      <c r="T17" s="11">
        <v>19369863932.689999</v>
      </c>
      <c r="U17" s="11">
        <v>20697050379.860001</v>
      </c>
      <c r="V17" s="11">
        <v>18452402207.389999</v>
      </c>
      <c r="W17" s="11">
        <v>19007898063.98</v>
      </c>
      <c r="X17" s="11">
        <v>16759941772.93</v>
      </c>
      <c r="Y17" s="11">
        <v>20363760144.119999</v>
      </c>
      <c r="Z17" s="11">
        <v>18143446055.669998</v>
      </c>
      <c r="AA17" s="13">
        <f t="shared" si="0"/>
        <v>198457427022.44</v>
      </c>
      <c r="AB17" s="13">
        <f t="shared" si="1"/>
        <v>128534602.99380828</v>
      </c>
    </row>
    <row r="18" spans="1:28" x14ac:dyDescent="0.3">
      <c r="A18">
        <v>17</v>
      </c>
      <c r="B18" t="s">
        <v>109</v>
      </c>
      <c r="C18" s="11">
        <v>15703089104.459999</v>
      </c>
      <c r="D18" s="11">
        <v>15274468241.02</v>
      </c>
      <c r="E18" s="11">
        <v>15067012998.969999</v>
      </c>
      <c r="F18" s="11">
        <v>14629262387.27</v>
      </c>
      <c r="G18" s="11">
        <v>14258135512.65</v>
      </c>
      <c r="H18" s="11">
        <v>13968012013.790001</v>
      </c>
      <c r="I18" s="11">
        <v>14793541467.200001</v>
      </c>
      <c r="J18" s="11">
        <v>14329573706.5</v>
      </c>
      <c r="K18" s="11">
        <v>15184777183.25</v>
      </c>
      <c r="L18" s="11">
        <v>14736041042.309999</v>
      </c>
      <c r="M18" s="11">
        <v>16557381687.780001</v>
      </c>
      <c r="N18" s="11">
        <v>16340509205.290001</v>
      </c>
      <c r="O18" s="11">
        <v>17896034473.860001</v>
      </c>
      <c r="P18" s="11">
        <v>17596334245.220001</v>
      </c>
      <c r="Q18" s="11">
        <v>19438744879.610001</v>
      </c>
      <c r="R18" s="11">
        <v>19139044650.970001</v>
      </c>
      <c r="S18" s="11">
        <v>19542037317.830002</v>
      </c>
      <c r="T18" s="11">
        <v>19242337089.189999</v>
      </c>
      <c r="U18" s="11">
        <v>18518701634.290001</v>
      </c>
      <c r="V18" s="11">
        <v>18219001405.650002</v>
      </c>
      <c r="W18" s="11">
        <v>16414488463.110001</v>
      </c>
      <c r="X18" s="11">
        <v>16114788234.469999</v>
      </c>
      <c r="Y18" s="11">
        <v>19881066099.360001</v>
      </c>
      <c r="Z18" s="11">
        <v>19581365870.720001</v>
      </c>
      <c r="AA18" s="13">
        <f t="shared" si="0"/>
        <v>199170738092.39999</v>
      </c>
      <c r="AB18" s="13">
        <f t="shared" si="1"/>
        <v>128996592.02875647</v>
      </c>
    </row>
    <row r="19" spans="1:28" x14ac:dyDescent="0.3">
      <c r="A19">
        <v>18</v>
      </c>
      <c r="B19" t="s">
        <v>110</v>
      </c>
      <c r="C19" s="11">
        <v>18236384468.130001</v>
      </c>
      <c r="D19" s="11">
        <v>13398257940.27</v>
      </c>
      <c r="E19" s="11">
        <v>17577687749.279999</v>
      </c>
      <c r="F19" s="11">
        <v>12721480119.65</v>
      </c>
      <c r="G19" s="11">
        <v>16234781224.110001</v>
      </c>
      <c r="H19" s="11">
        <v>11560291009.35</v>
      </c>
      <c r="I19" s="11">
        <v>17233437333.849998</v>
      </c>
      <c r="J19" s="11">
        <v>12347268705.73</v>
      </c>
      <c r="K19" s="11">
        <v>17535335622.540001</v>
      </c>
      <c r="L19" s="11">
        <v>12676379491.940001</v>
      </c>
      <c r="M19" s="11">
        <v>18794172365.060001</v>
      </c>
      <c r="N19" s="11">
        <v>14093615567.67</v>
      </c>
      <c r="O19" s="11">
        <v>20635036110.849998</v>
      </c>
      <c r="P19" s="11">
        <v>16185562525.98</v>
      </c>
      <c r="Q19" s="11">
        <v>22354887283.169998</v>
      </c>
      <c r="R19" s="11">
        <v>17888670376.16</v>
      </c>
      <c r="S19" s="11">
        <v>23021510206.610001</v>
      </c>
      <c r="T19" s="11">
        <v>18584238561.759998</v>
      </c>
      <c r="U19" s="11">
        <v>22724960599.849998</v>
      </c>
      <c r="V19" s="11">
        <v>18271394994.07</v>
      </c>
      <c r="W19" s="11">
        <v>20279522358.029999</v>
      </c>
      <c r="X19" s="11">
        <v>15821787920.68</v>
      </c>
      <c r="Y19" s="11">
        <v>21678406263.330002</v>
      </c>
      <c r="Z19" s="11">
        <v>17255506032.849998</v>
      </c>
      <c r="AA19" s="13">
        <f t="shared" si="0"/>
        <v>180804453246.10999</v>
      </c>
      <c r="AB19" s="13">
        <f t="shared" si="1"/>
        <v>117101329.8226101</v>
      </c>
    </row>
    <row r="20" spans="1:28" x14ac:dyDescent="0.3">
      <c r="A20">
        <v>19</v>
      </c>
      <c r="B20" t="s">
        <v>111</v>
      </c>
      <c r="C20" s="11">
        <v>23346227662.959999</v>
      </c>
      <c r="D20" s="11">
        <v>21592357130.07</v>
      </c>
      <c r="E20" s="11">
        <v>22046046107.790001</v>
      </c>
      <c r="F20" s="11">
        <v>20279226197.790001</v>
      </c>
      <c r="G20" s="11">
        <v>20728386912.630001</v>
      </c>
      <c r="H20" s="11">
        <v>19170957160.93</v>
      </c>
      <c r="I20" s="11">
        <v>22093555922.900002</v>
      </c>
      <c r="J20" s="11">
        <v>20289550341.369999</v>
      </c>
      <c r="K20" s="11">
        <v>22735969877.57</v>
      </c>
      <c r="L20" s="11">
        <v>20953568398.720001</v>
      </c>
      <c r="M20" s="11">
        <v>24118646730.09</v>
      </c>
      <c r="N20" s="11">
        <v>22561216978.389999</v>
      </c>
      <c r="O20" s="11">
        <v>26458763033.16</v>
      </c>
      <c r="P20" s="11">
        <v>24966076363.470001</v>
      </c>
      <c r="Q20" s="11">
        <v>28661236157.009998</v>
      </c>
      <c r="R20" s="11">
        <v>27168549487.32</v>
      </c>
      <c r="S20" s="11">
        <v>28827066039.869999</v>
      </c>
      <c r="T20" s="11">
        <v>27334379370.18</v>
      </c>
      <c r="U20" s="11">
        <v>27482334918.380001</v>
      </c>
      <c r="V20" s="11">
        <v>25989648248.689999</v>
      </c>
      <c r="W20" s="11">
        <v>24231682578.970001</v>
      </c>
      <c r="X20" s="11">
        <v>22801995909.279999</v>
      </c>
      <c r="Y20" s="11">
        <v>28079640475.869999</v>
      </c>
      <c r="Z20" s="11">
        <v>26586953806.18</v>
      </c>
      <c r="AA20" s="13">
        <f t="shared" si="0"/>
        <v>279694479392.39001</v>
      </c>
      <c r="AB20" s="13">
        <f t="shared" si="1"/>
        <v>181149274.21786919</v>
      </c>
    </row>
    <row r="21" spans="1:28" x14ac:dyDescent="0.3">
      <c r="A21">
        <v>20</v>
      </c>
      <c r="B21" t="s">
        <v>112</v>
      </c>
      <c r="C21" s="11">
        <v>17562618120.16</v>
      </c>
      <c r="D21" s="11">
        <v>15928674436.07</v>
      </c>
      <c r="E21" s="11">
        <v>16471390135.33</v>
      </c>
      <c r="F21" s="11">
        <v>14827411050.969999</v>
      </c>
      <c r="G21" s="11">
        <v>15493019726.809999</v>
      </c>
      <c r="H21" s="11">
        <v>14011312057.450001</v>
      </c>
      <c r="I21" s="11">
        <v>16380067444.02</v>
      </c>
      <c r="J21" s="11">
        <v>14707270524.08</v>
      </c>
      <c r="K21" s="11">
        <v>17372973182.080002</v>
      </c>
      <c r="L21" s="11">
        <v>15716918826.860001</v>
      </c>
      <c r="M21" s="11">
        <v>17875163389.950001</v>
      </c>
      <c r="N21" s="11">
        <v>16393455720.59</v>
      </c>
      <c r="O21" s="11">
        <v>19531869972.799999</v>
      </c>
      <c r="P21" s="11">
        <v>17728904022.759998</v>
      </c>
      <c r="Q21" s="11">
        <v>21202056790.029999</v>
      </c>
      <c r="R21" s="11">
        <v>19399090839.990002</v>
      </c>
      <c r="S21" s="11">
        <v>21506584572.66</v>
      </c>
      <c r="T21" s="11">
        <v>19703618622.619999</v>
      </c>
      <c r="U21" s="11">
        <v>20883929351.34</v>
      </c>
      <c r="V21" s="11">
        <v>19080963401.299999</v>
      </c>
      <c r="W21" s="11">
        <v>18358625839.18</v>
      </c>
      <c r="X21" s="11">
        <v>16555659889.139999</v>
      </c>
      <c r="Y21" s="11">
        <v>20989839660.580002</v>
      </c>
      <c r="Z21" s="11">
        <v>19186873710.540001</v>
      </c>
      <c r="AA21" s="13">
        <f t="shared" si="0"/>
        <v>203240153102.37003</v>
      </c>
      <c r="AB21" s="13">
        <f t="shared" si="1"/>
        <v>131632223.51189768</v>
      </c>
    </row>
    <row r="22" spans="1:28" x14ac:dyDescent="0.3">
      <c r="A22">
        <v>21</v>
      </c>
      <c r="B22" t="s">
        <v>113</v>
      </c>
      <c r="C22" s="11">
        <v>14230882769.879999</v>
      </c>
      <c r="D22" s="11">
        <v>13553386297.43</v>
      </c>
      <c r="E22" s="11">
        <v>13693080116.700001</v>
      </c>
      <c r="F22" s="11">
        <v>13001046087.620001</v>
      </c>
      <c r="G22" s="11">
        <v>12804444483.709999</v>
      </c>
      <c r="H22" s="11">
        <v>12258892639.41</v>
      </c>
      <c r="I22" s="11">
        <v>13599781385.24</v>
      </c>
      <c r="J22" s="11">
        <v>12883668623.26</v>
      </c>
      <c r="K22" s="11">
        <v>13828409887.540001</v>
      </c>
      <c r="L22" s="11">
        <v>13134264876.299999</v>
      </c>
      <c r="M22" s="11">
        <v>14714834841.57</v>
      </c>
      <c r="N22" s="11">
        <v>14148380778.17</v>
      </c>
      <c r="O22" s="11">
        <v>16257920504.780001</v>
      </c>
      <c r="P22" s="11">
        <v>15708376969.450001</v>
      </c>
      <c r="Q22" s="11">
        <v>17479711993.959999</v>
      </c>
      <c r="R22" s="11">
        <v>16916710597.9</v>
      </c>
      <c r="S22" s="11">
        <v>17613375941.779999</v>
      </c>
      <c r="T22" s="11">
        <v>17073737808.57</v>
      </c>
      <c r="U22" s="11">
        <v>17013810231.209999</v>
      </c>
      <c r="V22" s="11">
        <v>16428076919.74</v>
      </c>
      <c r="W22" s="11">
        <v>15177160751.9</v>
      </c>
      <c r="X22" s="11">
        <v>14654067740.24</v>
      </c>
      <c r="Y22" s="11">
        <v>16850506295.25</v>
      </c>
      <c r="Z22" s="11">
        <v>16322559866.74</v>
      </c>
      <c r="AA22" s="13">
        <f t="shared" si="0"/>
        <v>176083169204.82996</v>
      </c>
      <c r="AB22" s="13">
        <f t="shared" si="1"/>
        <v>114043503.37100385</v>
      </c>
    </row>
    <row r="23" spans="1:28" x14ac:dyDescent="0.3">
      <c r="A23">
        <v>22</v>
      </c>
      <c r="B23" t="s">
        <v>114</v>
      </c>
      <c r="C23" s="11">
        <v>14658976114.559999</v>
      </c>
      <c r="D23" s="11">
        <v>13557636920.610001</v>
      </c>
      <c r="E23" s="11">
        <v>14428085668.860001</v>
      </c>
      <c r="F23" s="11">
        <v>13311494274.450001</v>
      </c>
      <c r="G23" s="11">
        <v>13291268486.51</v>
      </c>
      <c r="H23" s="11">
        <v>12327963682.35</v>
      </c>
      <c r="I23" s="11">
        <v>13893478454.49</v>
      </c>
      <c r="J23" s="11">
        <v>12751613646.950001</v>
      </c>
      <c r="K23" s="11">
        <v>14231349492.9</v>
      </c>
      <c r="L23" s="11">
        <v>13112439617.67</v>
      </c>
      <c r="M23" s="11">
        <v>15303378868.85</v>
      </c>
      <c r="N23" s="11">
        <v>14318086014.799999</v>
      </c>
      <c r="O23" s="11">
        <v>16775659283.25</v>
      </c>
      <c r="P23" s="11">
        <v>15824639739.299999</v>
      </c>
      <c r="Q23" s="11">
        <v>18020102535.549999</v>
      </c>
      <c r="R23" s="11">
        <v>17118242659.299999</v>
      </c>
      <c r="S23" s="11">
        <v>17900145233.049999</v>
      </c>
      <c r="T23" s="11">
        <v>17022701951.889999</v>
      </c>
      <c r="U23" s="11">
        <v>17616117507.59</v>
      </c>
      <c r="V23" s="11">
        <v>16164530208.809999</v>
      </c>
      <c r="W23" s="11">
        <v>15676499331.370001</v>
      </c>
      <c r="X23" s="11">
        <v>14300288615.68</v>
      </c>
      <c r="Y23" s="11">
        <v>17454051594.130001</v>
      </c>
      <c r="Z23" s="11">
        <v>16428229171.889999</v>
      </c>
      <c r="AA23" s="13">
        <f t="shared" si="0"/>
        <v>176237866503.70001</v>
      </c>
      <c r="AB23" s="13">
        <f t="shared" si="1"/>
        <v>114143695.92208549</v>
      </c>
    </row>
    <row r="24" spans="1:28" x14ac:dyDescent="0.3">
      <c r="A24">
        <v>23</v>
      </c>
      <c r="B24" t="s">
        <v>115</v>
      </c>
      <c r="C24" s="11">
        <v>13575913051.860001</v>
      </c>
      <c r="D24" s="11">
        <v>12271902307.26</v>
      </c>
      <c r="E24" s="11">
        <v>12464841196.92</v>
      </c>
      <c r="F24" s="11">
        <v>11148546387.629999</v>
      </c>
      <c r="G24" s="11">
        <v>11240770254.57</v>
      </c>
      <c r="H24" s="11">
        <v>10047931886.6</v>
      </c>
      <c r="I24" s="11">
        <v>12793691790.68</v>
      </c>
      <c r="J24" s="11">
        <v>11457041869.84</v>
      </c>
      <c r="K24" s="11">
        <v>12697294175.780001</v>
      </c>
      <c r="L24" s="11">
        <v>11379132070.790001</v>
      </c>
      <c r="M24" s="11">
        <v>13512545312.030001</v>
      </c>
      <c r="N24" s="11">
        <v>12301997851.66</v>
      </c>
      <c r="O24" s="11">
        <v>14570688348.549999</v>
      </c>
      <c r="P24" s="11">
        <v>13371976405.08</v>
      </c>
      <c r="Q24" s="11">
        <v>15621254710.48</v>
      </c>
      <c r="R24" s="11">
        <v>14411167572.35</v>
      </c>
      <c r="S24" s="11">
        <v>15648836063.940001</v>
      </c>
      <c r="T24" s="11">
        <v>14458413959.35</v>
      </c>
      <c r="U24" s="11">
        <v>14994953194.030001</v>
      </c>
      <c r="V24" s="11">
        <v>13793461184.93</v>
      </c>
      <c r="W24" s="11">
        <v>13267979960.940001</v>
      </c>
      <c r="X24" s="11">
        <v>12063655702.040001</v>
      </c>
      <c r="Y24" s="11">
        <v>15638160271.77</v>
      </c>
      <c r="Z24" s="11">
        <v>14457501918.639999</v>
      </c>
      <c r="AA24" s="13">
        <f t="shared" si="0"/>
        <v>151162729116.17004</v>
      </c>
      <c r="AB24" s="13">
        <f t="shared" si="1"/>
        <v>97903321.966431379</v>
      </c>
    </row>
    <row r="25" spans="1:28" x14ac:dyDescent="0.3">
      <c r="A25">
        <v>24</v>
      </c>
      <c r="B25" t="s">
        <v>116</v>
      </c>
      <c r="C25" s="11">
        <v>61510500562.169998</v>
      </c>
      <c r="D25" s="11">
        <v>45146538647.510002</v>
      </c>
      <c r="E25" s="11">
        <v>56070991045.870003</v>
      </c>
      <c r="F25" s="11">
        <v>39696092540.480003</v>
      </c>
      <c r="G25" s="11">
        <v>51230351780.360001</v>
      </c>
      <c r="H25" s="11">
        <v>35032296849.099998</v>
      </c>
      <c r="I25" s="11">
        <v>56184108018.669998</v>
      </c>
      <c r="J25" s="11">
        <v>39777803803.029999</v>
      </c>
      <c r="K25" s="11">
        <v>55787483383.5</v>
      </c>
      <c r="L25" s="11">
        <v>38381253493.620003</v>
      </c>
      <c r="M25" s="11">
        <v>56370775563.809998</v>
      </c>
      <c r="N25" s="11">
        <v>39154548892.080002</v>
      </c>
      <c r="O25" s="11">
        <v>57467142724.68</v>
      </c>
      <c r="P25" s="11">
        <v>41843305429.93</v>
      </c>
      <c r="Q25" s="11">
        <v>65533067104.669998</v>
      </c>
      <c r="R25" s="11">
        <v>50918832365.980003</v>
      </c>
      <c r="S25" s="11">
        <v>76633680758.089996</v>
      </c>
      <c r="T25" s="11">
        <v>62829843463.339996</v>
      </c>
      <c r="U25" s="11">
        <v>64940351036.050003</v>
      </c>
      <c r="V25" s="11">
        <v>49116513741.300003</v>
      </c>
      <c r="W25" s="11">
        <v>51609169542.269997</v>
      </c>
      <c r="X25" s="11">
        <v>33785332247.52</v>
      </c>
      <c r="Y25" s="11">
        <v>73650547458.580002</v>
      </c>
      <c r="Z25" s="11">
        <v>55826710163.830002</v>
      </c>
      <c r="AA25" s="13">
        <f t="shared" si="0"/>
        <v>531509071637.71997</v>
      </c>
      <c r="AB25" s="13">
        <f t="shared" si="1"/>
        <v>344241626.70836788</v>
      </c>
    </row>
    <row r="26" spans="1:28" x14ac:dyDescent="0.3">
      <c r="A26">
        <v>25</v>
      </c>
      <c r="B26" t="s">
        <v>117</v>
      </c>
      <c r="C26" s="11">
        <v>12506220068.290001</v>
      </c>
      <c r="D26" s="11">
        <v>11830304409.17</v>
      </c>
      <c r="E26" s="11">
        <v>12056380299.440001</v>
      </c>
      <c r="F26" s="11">
        <v>11367738322.91</v>
      </c>
      <c r="G26" s="11">
        <v>11291593219.24</v>
      </c>
      <c r="H26" s="11">
        <v>10730852381.200001</v>
      </c>
      <c r="I26" s="11">
        <v>11661997415.67</v>
      </c>
      <c r="J26" s="11">
        <v>10952267499.83</v>
      </c>
      <c r="K26" s="11">
        <v>12169292072.16</v>
      </c>
      <c r="L26" s="11">
        <v>11478715573.27</v>
      </c>
      <c r="M26" s="11">
        <v>13098919580</v>
      </c>
      <c r="N26" s="11">
        <v>12519832084.17</v>
      </c>
      <c r="O26" s="11">
        <v>14430100883.860001</v>
      </c>
      <c r="P26" s="11">
        <v>13983977215.709999</v>
      </c>
      <c r="Q26" s="11">
        <v>15308833641.139999</v>
      </c>
      <c r="R26" s="11">
        <v>14850925746.870001</v>
      </c>
      <c r="S26" s="11">
        <v>15216348393.84</v>
      </c>
      <c r="T26" s="11">
        <v>14778813516.58</v>
      </c>
      <c r="U26" s="11">
        <v>14987915740.379999</v>
      </c>
      <c r="V26" s="11">
        <v>14538912418.25</v>
      </c>
      <c r="W26" s="11">
        <v>13286156280.549999</v>
      </c>
      <c r="X26" s="11">
        <v>12834218741.549999</v>
      </c>
      <c r="Y26" s="11">
        <v>15706409986.66</v>
      </c>
      <c r="Z26" s="11">
        <v>15278990376.9</v>
      </c>
      <c r="AA26" s="13">
        <f t="shared" si="0"/>
        <v>155145548286.41</v>
      </c>
      <c r="AB26" s="13">
        <f t="shared" si="1"/>
        <v>100482868.06114638</v>
      </c>
    </row>
    <row r="27" spans="1:28" x14ac:dyDescent="0.3">
      <c r="A27">
        <v>26</v>
      </c>
      <c r="B27" t="s">
        <v>118</v>
      </c>
      <c r="C27" s="11">
        <v>15818665286.219999</v>
      </c>
      <c r="D27" s="11">
        <v>13876004955.1</v>
      </c>
      <c r="E27" s="11">
        <v>15019565868.809999</v>
      </c>
      <c r="F27" s="11">
        <v>13060590376.870001</v>
      </c>
      <c r="G27" s="11">
        <v>13986644495.43</v>
      </c>
      <c r="H27" s="11">
        <v>12191983859.290001</v>
      </c>
      <c r="I27" s="11">
        <v>15016587228.25</v>
      </c>
      <c r="J27" s="11">
        <v>13030588607.41</v>
      </c>
      <c r="K27" s="11">
        <v>16472132914.15</v>
      </c>
      <c r="L27" s="11">
        <v>14510768174.07</v>
      </c>
      <c r="M27" s="11">
        <v>16373966217.610001</v>
      </c>
      <c r="N27" s="11">
        <v>14555836628.1</v>
      </c>
      <c r="O27" s="11">
        <v>17901365717.150002</v>
      </c>
      <c r="P27" s="11">
        <v>16156905449.110001</v>
      </c>
      <c r="Q27" s="11">
        <v>19393904145.59</v>
      </c>
      <c r="R27" s="11">
        <v>17634320347.32</v>
      </c>
      <c r="S27" s="11">
        <v>19354226960.299999</v>
      </c>
      <c r="T27" s="11">
        <v>17620824921.720001</v>
      </c>
      <c r="U27" s="11">
        <v>19215007988.830002</v>
      </c>
      <c r="V27" s="11">
        <v>17466888871.34</v>
      </c>
      <c r="W27" s="11">
        <v>17349316128.41</v>
      </c>
      <c r="X27" s="11">
        <v>15633136997.450001</v>
      </c>
      <c r="Y27" s="11">
        <v>19682729209.09</v>
      </c>
      <c r="Z27" s="11">
        <v>17971664546.049999</v>
      </c>
      <c r="AA27" s="13">
        <f t="shared" si="0"/>
        <v>183709513733.82999</v>
      </c>
      <c r="AB27" s="13">
        <f t="shared" si="1"/>
        <v>118982845.68253237</v>
      </c>
    </row>
    <row r="28" spans="1:28" x14ac:dyDescent="0.3">
      <c r="A28">
        <v>27</v>
      </c>
      <c r="B28" t="s">
        <v>119</v>
      </c>
      <c r="C28" s="11">
        <v>13969086854.73</v>
      </c>
      <c r="D28" s="11">
        <v>9510297818.1399994</v>
      </c>
      <c r="E28" s="11">
        <v>13703138056.110001</v>
      </c>
      <c r="F28" s="11">
        <v>9236764367.5200005</v>
      </c>
      <c r="G28" s="11">
        <v>12694229853.629999</v>
      </c>
      <c r="H28" s="11">
        <v>8350499226.4099998</v>
      </c>
      <c r="I28" s="11">
        <v>13234692135.66</v>
      </c>
      <c r="J28" s="11">
        <v>8746538224.2399998</v>
      </c>
      <c r="K28" s="11">
        <v>13753357577.23</v>
      </c>
      <c r="L28" s="11">
        <v>9277857523.5</v>
      </c>
      <c r="M28" s="11">
        <v>14407852881.09</v>
      </c>
      <c r="N28" s="11">
        <v>10064122253.870001</v>
      </c>
      <c r="O28" s="11">
        <v>16202266901.809999</v>
      </c>
      <c r="P28" s="11">
        <v>12009748609.73</v>
      </c>
      <c r="Q28" s="11">
        <v>16887786238.74</v>
      </c>
      <c r="R28" s="11">
        <v>12695267946.66</v>
      </c>
      <c r="S28" s="11">
        <v>17103265263.24</v>
      </c>
      <c r="T28" s="11">
        <v>12910746971.16</v>
      </c>
      <c r="U28" s="11">
        <v>16732353434.67</v>
      </c>
      <c r="V28" s="11">
        <v>12539835142.59</v>
      </c>
      <c r="W28" s="11">
        <v>14476429802.969999</v>
      </c>
      <c r="X28" s="11">
        <v>10283911510.889999</v>
      </c>
      <c r="Y28" s="11">
        <v>16970427020.549999</v>
      </c>
      <c r="Z28" s="11">
        <v>12777908728.469999</v>
      </c>
      <c r="AA28" s="13">
        <f t="shared" si="0"/>
        <v>128403498323.18001</v>
      </c>
      <c r="AB28" s="13">
        <f t="shared" si="1"/>
        <v>83162887.515012965</v>
      </c>
    </row>
    <row r="29" spans="1:28" x14ac:dyDescent="0.3">
      <c r="A29">
        <v>28</v>
      </c>
      <c r="B29" t="s">
        <v>120</v>
      </c>
      <c r="C29" s="11">
        <v>16867717997.290001</v>
      </c>
      <c r="D29" s="11">
        <v>15441907976.459999</v>
      </c>
      <c r="E29" s="11">
        <v>16209313427.42</v>
      </c>
      <c r="F29" s="11">
        <v>14770657171.280001</v>
      </c>
      <c r="G29" s="11">
        <v>15790109844.33</v>
      </c>
      <c r="H29" s="11">
        <v>14435559917.040001</v>
      </c>
      <c r="I29" s="11">
        <v>16927932206.27</v>
      </c>
      <c r="J29" s="11">
        <v>15467989302.799999</v>
      </c>
      <c r="K29" s="11">
        <v>16824525051.219999</v>
      </c>
      <c r="L29" s="11">
        <v>15383916044.049999</v>
      </c>
      <c r="M29" s="11">
        <v>17719578775.610001</v>
      </c>
      <c r="N29" s="11">
        <v>16346509313.15</v>
      </c>
      <c r="O29" s="11">
        <v>18950205704.709999</v>
      </c>
      <c r="P29" s="11">
        <v>17797393747.34</v>
      </c>
      <c r="Q29" s="11">
        <v>21221630463.580002</v>
      </c>
      <c r="R29" s="11">
        <v>20056922734.66</v>
      </c>
      <c r="S29" s="11">
        <v>20786468501.529999</v>
      </c>
      <c r="T29" s="11">
        <v>19492092501.07</v>
      </c>
      <c r="U29" s="11">
        <v>20407125782.98</v>
      </c>
      <c r="V29" s="11">
        <v>19251406532.450001</v>
      </c>
      <c r="W29" s="11">
        <v>18524615869.630001</v>
      </c>
      <c r="X29" s="11">
        <v>17365934753.610001</v>
      </c>
      <c r="Y29" s="11">
        <v>19592859616.07</v>
      </c>
      <c r="Z29" s="11">
        <v>18308694197.529999</v>
      </c>
      <c r="AA29" s="13">
        <f t="shared" si="0"/>
        <v>204118984191.44003</v>
      </c>
      <c r="AB29" s="13">
        <f t="shared" si="1"/>
        <v>132201414.63176169</v>
      </c>
    </row>
    <row r="30" spans="1:28" x14ac:dyDescent="0.3">
      <c r="A30">
        <v>29</v>
      </c>
      <c r="B30" t="s">
        <v>121</v>
      </c>
      <c r="C30" s="11">
        <v>13367371107.93</v>
      </c>
      <c r="D30" s="11">
        <v>11281628750.6</v>
      </c>
      <c r="E30" s="11">
        <v>13451760554.299999</v>
      </c>
      <c r="F30" s="11">
        <v>11358572586.719999</v>
      </c>
      <c r="G30" s="11">
        <v>12260190243.66</v>
      </c>
      <c r="H30" s="11">
        <v>10287397046.360001</v>
      </c>
      <c r="I30" s="11">
        <v>12709171268</v>
      </c>
      <c r="J30" s="11">
        <v>10594602352.370001</v>
      </c>
      <c r="K30" s="11">
        <v>13257702478.09</v>
      </c>
      <c r="L30" s="11">
        <v>11155555449.790001</v>
      </c>
      <c r="M30" s="11">
        <v>13841818627.08</v>
      </c>
      <c r="N30" s="11">
        <v>11869025429.780001</v>
      </c>
      <c r="O30" s="11">
        <v>15157385501.73</v>
      </c>
      <c r="P30" s="11">
        <v>13315927894.93</v>
      </c>
      <c r="Q30" s="11">
        <v>16280697761.959999</v>
      </c>
      <c r="R30" s="11">
        <v>14439240155.16</v>
      </c>
      <c r="S30" s="11">
        <v>17483331551.869999</v>
      </c>
      <c r="T30" s="11">
        <v>15641873945.07</v>
      </c>
      <c r="U30" s="11">
        <v>15759283604.209999</v>
      </c>
      <c r="V30" s="11">
        <v>13917825997.41</v>
      </c>
      <c r="W30" s="11">
        <v>13909600946.889999</v>
      </c>
      <c r="X30" s="11">
        <v>12068143340.09</v>
      </c>
      <c r="Y30" s="11">
        <v>16014144902.879999</v>
      </c>
      <c r="Z30" s="11">
        <v>14172687296.08</v>
      </c>
      <c r="AA30" s="13">
        <f t="shared" si="0"/>
        <v>150102480244.35999</v>
      </c>
      <c r="AB30" s="13">
        <f t="shared" si="1"/>
        <v>97216632.282616571</v>
      </c>
    </row>
    <row r="31" spans="1:28" x14ac:dyDescent="0.3">
      <c r="A31">
        <v>30</v>
      </c>
      <c r="B31" t="s">
        <v>122</v>
      </c>
      <c r="C31" s="11">
        <v>19978651464.419998</v>
      </c>
      <c r="D31" s="11">
        <v>16953371487.76</v>
      </c>
      <c r="E31" s="11">
        <v>18995763632.349998</v>
      </c>
      <c r="F31" s="11">
        <v>15961327017.99</v>
      </c>
      <c r="G31" s="11">
        <v>18042250968.32</v>
      </c>
      <c r="H31" s="11">
        <v>15155876266.23</v>
      </c>
      <c r="I31" s="11">
        <v>18426528449.400002</v>
      </c>
      <c r="J31" s="11">
        <v>15365797469.870001</v>
      </c>
      <c r="K31" s="11">
        <v>21062699299.990002</v>
      </c>
      <c r="L31" s="11">
        <v>18154238883.700001</v>
      </c>
      <c r="M31" s="11">
        <v>21298646475.119999</v>
      </c>
      <c r="N31" s="11">
        <v>18549265855.509998</v>
      </c>
      <c r="O31" s="11">
        <v>22678619481.830002</v>
      </c>
      <c r="P31" s="11">
        <v>19665538749.810001</v>
      </c>
      <c r="Q31" s="11">
        <v>23158860516.720001</v>
      </c>
      <c r="R31" s="11">
        <v>20145779784.709999</v>
      </c>
      <c r="S31" s="11">
        <v>24573179807.799999</v>
      </c>
      <c r="T31" s="11">
        <v>22731722201</v>
      </c>
      <c r="U31" s="11">
        <v>23351774095.740002</v>
      </c>
      <c r="V31" s="11">
        <v>20338693363.73</v>
      </c>
      <c r="W31" s="11">
        <v>20055054584.5</v>
      </c>
      <c r="X31" s="11">
        <v>17041973852.49</v>
      </c>
      <c r="Y31" s="11">
        <v>24184556776.91</v>
      </c>
      <c r="Z31" s="11">
        <v>21171476044.900002</v>
      </c>
      <c r="AA31" s="13">
        <f t="shared" si="0"/>
        <v>221235060977.69998</v>
      </c>
      <c r="AB31" s="13">
        <f t="shared" si="1"/>
        <v>143286956.59177461</v>
      </c>
    </row>
    <row r="32" spans="1:28" x14ac:dyDescent="0.3">
      <c r="A32">
        <v>31</v>
      </c>
      <c r="B32" t="s">
        <v>123</v>
      </c>
      <c r="C32" s="11">
        <v>14102861028.02</v>
      </c>
      <c r="D32" s="11">
        <v>11926824939.92</v>
      </c>
      <c r="E32" s="11">
        <v>13743961411.059999</v>
      </c>
      <c r="F32" s="11">
        <v>11553514732.950001</v>
      </c>
      <c r="G32" s="11">
        <v>12747540287.68</v>
      </c>
      <c r="H32" s="11">
        <v>11102786189.389999</v>
      </c>
      <c r="I32" s="11">
        <v>13829494855.700001</v>
      </c>
      <c r="J32" s="11">
        <v>12016033625.040001</v>
      </c>
      <c r="K32" s="11">
        <v>13886793059.65</v>
      </c>
      <c r="L32" s="11">
        <v>12095020117.129999</v>
      </c>
      <c r="M32" s="11">
        <v>14942576106.4</v>
      </c>
      <c r="N32" s="11">
        <v>13277047250.200001</v>
      </c>
      <c r="O32" s="11">
        <v>16353244500.01</v>
      </c>
      <c r="P32" s="11">
        <v>14710692604.65</v>
      </c>
      <c r="Q32" s="11">
        <v>17817424146.029999</v>
      </c>
      <c r="R32" s="11">
        <v>16161527867.450001</v>
      </c>
      <c r="S32" s="11">
        <v>17557650944.689999</v>
      </c>
      <c r="T32" s="11">
        <v>14435108126.9</v>
      </c>
      <c r="U32" s="11">
        <v>17036552964.950001</v>
      </c>
      <c r="V32" s="11">
        <v>15390739739.799999</v>
      </c>
      <c r="W32" s="11">
        <v>15123595407.17</v>
      </c>
      <c r="X32" s="11">
        <v>13474459634.35</v>
      </c>
      <c r="Y32" s="11">
        <v>17343423850.099998</v>
      </c>
      <c r="Z32" s="11">
        <v>15722050847.5</v>
      </c>
      <c r="AA32" s="13">
        <f t="shared" si="0"/>
        <v>161865805675.28</v>
      </c>
      <c r="AB32" s="13">
        <f t="shared" si="1"/>
        <v>104835366.37</v>
      </c>
    </row>
    <row r="33" spans="1:28" x14ac:dyDescent="0.3">
      <c r="A33">
        <v>32</v>
      </c>
      <c r="B33" t="s">
        <v>124</v>
      </c>
      <c r="C33" s="11">
        <v>52532718976.730003</v>
      </c>
      <c r="D33" s="11">
        <v>46269707538.330002</v>
      </c>
      <c r="E33" s="11">
        <v>50942070485.970001</v>
      </c>
      <c r="F33" s="11">
        <v>44664176317.970001</v>
      </c>
      <c r="G33" s="11">
        <v>50550933768.510002</v>
      </c>
      <c r="H33" s="11">
        <v>44422612960.800003</v>
      </c>
      <c r="I33" s="11">
        <v>49099112315.860001</v>
      </c>
      <c r="J33" s="11">
        <v>42796556960.449997</v>
      </c>
      <c r="K33" s="11">
        <v>48587186634.43</v>
      </c>
      <c r="L33" s="11">
        <v>42302030148.720001</v>
      </c>
      <c r="M33" s="11">
        <v>45231850663.389999</v>
      </c>
      <c r="N33" s="11">
        <v>39082074446.540001</v>
      </c>
      <c r="O33" s="11">
        <v>46794837752.470001</v>
      </c>
      <c r="P33" s="11">
        <v>41646572719.959999</v>
      </c>
      <c r="Q33" s="11">
        <v>58529862562.389999</v>
      </c>
      <c r="R33" s="11">
        <v>53367815939.620003</v>
      </c>
      <c r="S33" s="11">
        <v>52656899559.75</v>
      </c>
      <c r="T33" s="11">
        <v>47518678061.980003</v>
      </c>
      <c r="U33" s="11">
        <v>47179722983.730003</v>
      </c>
      <c r="V33" s="11">
        <v>42028089769.260002</v>
      </c>
      <c r="W33" s="11">
        <v>42906237697.5</v>
      </c>
      <c r="X33" s="11">
        <v>37751173077.480003</v>
      </c>
      <c r="Y33" s="11">
        <v>40212803152.699997</v>
      </c>
      <c r="Z33" s="11">
        <v>35086410904.989998</v>
      </c>
      <c r="AA33" s="13">
        <f t="shared" si="0"/>
        <v>516935898846.09998</v>
      </c>
      <c r="AB33" s="13">
        <f t="shared" si="1"/>
        <v>334803043.29410619</v>
      </c>
    </row>
    <row r="34" spans="1:28" x14ac:dyDescent="0.3">
      <c r="A34">
        <v>33</v>
      </c>
      <c r="B34" t="s">
        <v>125</v>
      </c>
      <c r="C34" s="11">
        <v>15205525981.280001</v>
      </c>
      <c r="D34" s="11">
        <v>13925525919.66</v>
      </c>
      <c r="E34" s="11">
        <v>14540843486.43</v>
      </c>
      <c r="F34" s="11">
        <v>13251846082.809999</v>
      </c>
      <c r="G34" s="11">
        <v>13551324819.43</v>
      </c>
      <c r="H34" s="11">
        <v>12407813532.67</v>
      </c>
      <c r="I34" s="11">
        <v>14340455503.77</v>
      </c>
      <c r="J34" s="11">
        <v>13025621171.35</v>
      </c>
      <c r="K34" s="11">
        <v>14621419167.1</v>
      </c>
      <c r="L34" s="11">
        <v>13321595554.4</v>
      </c>
      <c r="M34" s="11">
        <v>15649095627.139999</v>
      </c>
      <c r="N34" s="11">
        <v>14505584340.379999</v>
      </c>
      <c r="O34" s="11">
        <v>17407752531.650002</v>
      </c>
      <c r="P34" s="11">
        <v>16320721499.889999</v>
      </c>
      <c r="Q34" s="11">
        <v>18386770750.060001</v>
      </c>
      <c r="R34" s="11">
        <v>17299739718.299999</v>
      </c>
      <c r="S34" s="11">
        <v>18655751429.93</v>
      </c>
      <c r="T34" s="11">
        <v>17568720398.169998</v>
      </c>
      <c r="U34" s="11">
        <v>18041874114.84</v>
      </c>
      <c r="V34" s="11">
        <v>16954843083.08</v>
      </c>
      <c r="W34" s="11">
        <v>15970793594.790001</v>
      </c>
      <c r="X34" s="11">
        <v>14883762563.030001</v>
      </c>
      <c r="Y34" s="11">
        <v>17942731770.02</v>
      </c>
      <c r="Z34" s="11">
        <v>16855700738.26</v>
      </c>
      <c r="AA34" s="13">
        <f t="shared" si="0"/>
        <v>180321474602</v>
      </c>
      <c r="AB34" s="13">
        <f t="shared" si="1"/>
        <v>116788519.81994818</v>
      </c>
    </row>
    <row r="35" spans="1:28" x14ac:dyDescent="0.3">
      <c r="A35">
        <v>34</v>
      </c>
      <c r="B35" t="s">
        <v>126</v>
      </c>
      <c r="C35" s="11">
        <v>12801193747.280001</v>
      </c>
      <c r="D35" s="11">
        <v>11946122202.309999</v>
      </c>
      <c r="E35" s="11">
        <v>12268894930.93</v>
      </c>
      <c r="F35" s="11">
        <v>11400530260.59</v>
      </c>
      <c r="G35" s="11">
        <v>11614142164</v>
      </c>
      <c r="H35" s="11">
        <v>10879375125.59</v>
      </c>
      <c r="I35" s="11">
        <v>12231204981.290001</v>
      </c>
      <c r="J35" s="11">
        <v>11340813151.620001</v>
      </c>
      <c r="K35" s="11">
        <v>12710838749.68</v>
      </c>
      <c r="L35" s="11">
        <v>11840453396.719999</v>
      </c>
      <c r="M35" s="11">
        <v>13432939344.58</v>
      </c>
      <c r="N35" s="11">
        <v>12679008520.27</v>
      </c>
      <c r="O35" s="11">
        <v>14681847432.879999</v>
      </c>
      <c r="P35" s="11">
        <v>13980254442.379999</v>
      </c>
      <c r="Q35" s="11">
        <v>15914095444.219999</v>
      </c>
      <c r="R35" s="11">
        <v>15200192856.469999</v>
      </c>
      <c r="S35" s="11">
        <v>15853527248.290001</v>
      </c>
      <c r="T35" s="11">
        <v>15160905056.16</v>
      </c>
      <c r="U35" s="11">
        <v>16207086452.82</v>
      </c>
      <c r="V35" s="11">
        <v>15502485031.32</v>
      </c>
      <c r="W35" s="11">
        <v>13837017359.43</v>
      </c>
      <c r="X35" s="11">
        <v>13129351036.16</v>
      </c>
      <c r="Y35" s="11">
        <v>15185841194.059999</v>
      </c>
      <c r="Z35" s="11">
        <v>14503784785.790001</v>
      </c>
      <c r="AA35" s="13">
        <f t="shared" si="0"/>
        <v>157563275865.38004</v>
      </c>
      <c r="AB35" s="13">
        <f t="shared" si="1"/>
        <v>102048753.79882127</v>
      </c>
    </row>
    <row r="36" spans="1:28" x14ac:dyDescent="0.3">
      <c r="A36">
        <v>35</v>
      </c>
      <c r="B36" t="s">
        <v>127</v>
      </c>
      <c r="C36" s="11">
        <v>13154176942.35</v>
      </c>
      <c r="D36" s="11">
        <v>12132941526.370001</v>
      </c>
      <c r="E36" s="11">
        <v>12540497761</v>
      </c>
      <c r="F36" s="11">
        <v>11511255516.059999</v>
      </c>
      <c r="G36" s="11">
        <v>11978642314.959999</v>
      </c>
      <c r="H36" s="11">
        <v>11080586680.4</v>
      </c>
      <c r="I36" s="11">
        <v>12698298689.370001</v>
      </c>
      <c r="J36" s="11">
        <v>11645976728.870001</v>
      </c>
      <c r="K36" s="11">
        <v>13179354834.870001</v>
      </c>
      <c r="L36" s="11">
        <v>12140657906.24</v>
      </c>
      <c r="M36" s="11">
        <v>13712615318.559999</v>
      </c>
      <c r="N36" s="11">
        <v>12814869684</v>
      </c>
      <c r="O36" s="11">
        <v>15354620255.110001</v>
      </c>
      <c r="P36" s="11">
        <v>14475570602.530001</v>
      </c>
      <c r="Q36" s="11">
        <v>16376182530.870001</v>
      </c>
      <c r="R36" s="11">
        <v>15497232878.290001</v>
      </c>
      <c r="S36" s="11">
        <v>16405576746.77</v>
      </c>
      <c r="T36" s="11">
        <v>15526737094.190001</v>
      </c>
      <c r="U36" s="11">
        <v>15640046353.66</v>
      </c>
      <c r="V36" s="11">
        <v>14761306701.08</v>
      </c>
      <c r="W36" s="11">
        <v>14491043376.73</v>
      </c>
      <c r="X36" s="11">
        <v>13612413724.15</v>
      </c>
      <c r="Y36" s="11">
        <v>15502030970.950001</v>
      </c>
      <c r="Z36" s="11">
        <v>14623511318.370001</v>
      </c>
      <c r="AA36" s="13">
        <f t="shared" si="0"/>
        <v>159823060360.55002</v>
      </c>
      <c r="AB36" s="13">
        <f t="shared" si="1"/>
        <v>103512344.79310234</v>
      </c>
    </row>
    <row r="37" spans="1:28" x14ac:dyDescent="0.3">
      <c r="A37">
        <v>36</v>
      </c>
      <c r="B37" t="s">
        <v>128</v>
      </c>
      <c r="C37" s="11">
        <v>13823750253.92</v>
      </c>
      <c r="D37" s="11">
        <v>12669951389.280001</v>
      </c>
      <c r="E37" s="11">
        <v>13125762876.58</v>
      </c>
      <c r="F37" s="11">
        <v>11963879917.809999</v>
      </c>
      <c r="G37" s="11">
        <v>12544874117.26</v>
      </c>
      <c r="H37" s="11">
        <v>11514396945.07</v>
      </c>
      <c r="I37" s="11">
        <v>13389898369.27</v>
      </c>
      <c r="J37" s="11">
        <v>12204766115.940001</v>
      </c>
      <c r="K37" s="11">
        <v>13486455839.049999</v>
      </c>
      <c r="L37" s="11">
        <v>12314927421.950001</v>
      </c>
      <c r="M37" s="11">
        <v>14352298498.02</v>
      </c>
      <c r="N37" s="11">
        <v>13321951325.83</v>
      </c>
      <c r="O37" s="11">
        <v>16136219993.02</v>
      </c>
      <c r="P37" s="11">
        <v>15155369921.809999</v>
      </c>
      <c r="Q37" s="11">
        <v>16825725121.370001</v>
      </c>
      <c r="R37" s="11">
        <v>15844955050.16</v>
      </c>
      <c r="S37" s="11">
        <v>17337966662.110001</v>
      </c>
      <c r="T37" s="11">
        <v>16357246590.9</v>
      </c>
      <c r="U37" s="11">
        <v>16858705369.15</v>
      </c>
      <c r="V37" s="11">
        <v>15878025297.940001</v>
      </c>
      <c r="W37" s="11">
        <v>14752770359.77</v>
      </c>
      <c r="X37" s="11">
        <v>13772140288.559999</v>
      </c>
      <c r="Y37" s="11">
        <v>17182069044.759998</v>
      </c>
      <c r="Z37" s="11">
        <v>16201478973.549999</v>
      </c>
      <c r="AA37" s="13">
        <f t="shared" si="0"/>
        <v>167199089238.79999</v>
      </c>
      <c r="AB37" s="13">
        <f t="shared" si="1"/>
        <v>108289565.56917098</v>
      </c>
    </row>
    <row r="38" spans="1:28" x14ac:dyDescent="0.3">
      <c r="A38">
        <v>37</v>
      </c>
      <c r="B38" t="s">
        <v>62</v>
      </c>
      <c r="C38" s="11"/>
      <c r="D38" s="11">
        <v>15405772725.16</v>
      </c>
      <c r="E38" s="11"/>
      <c r="F38" s="11">
        <v>15219111449.459999</v>
      </c>
      <c r="G38" s="11"/>
      <c r="H38" s="11">
        <v>14089508614.370001</v>
      </c>
      <c r="I38" s="11"/>
      <c r="J38" s="11">
        <v>14914818836.040001</v>
      </c>
      <c r="K38" s="11"/>
      <c r="L38" s="11">
        <v>14986202485.389999</v>
      </c>
      <c r="M38" s="11"/>
      <c r="N38" s="11">
        <v>16604608332.030001</v>
      </c>
      <c r="O38" s="11"/>
      <c r="P38" s="11">
        <v>18444815247.959999</v>
      </c>
      <c r="Q38" s="11"/>
      <c r="R38" s="11">
        <v>20061172817.59</v>
      </c>
      <c r="S38" s="11"/>
      <c r="T38" s="11">
        <v>19324506735.349998</v>
      </c>
      <c r="U38" s="11"/>
      <c r="V38" s="11">
        <v>19173415805.060001</v>
      </c>
      <c r="W38" s="11"/>
      <c r="X38" s="11">
        <v>17581674002.880001</v>
      </c>
      <c r="Y38" s="11"/>
      <c r="Z38" s="11">
        <v>18372527026.77</v>
      </c>
      <c r="AA38" s="13">
        <f t="shared" si="0"/>
        <v>204178134078.06</v>
      </c>
      <c r="AB38" s="13">
        <f t="shared" si="1"/>
        <v>132239724.14382124</v>
      </c>
    </row>
    <row r="39" spans="1:28" x14ac:dyDescent="0.3">
      <c r="AA39" s="13">
        <f>SUM(AA2:AA38)</f>
        <v>8363344733890.2998</v>
      </c>
      <c r="AB39" s="13">
        <f t="shared" si="1"/>
        <v>5416674050.4470854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C567-F4F1-4D55-8262-44139A77B677}">
  <dimension ref="A1:K39"/>
  <sheetViews>
    <sheetView workbookViewId="0">
      <selection activeCell="K40" sqref="K40"/>
    </sheetView>
  </sheetViews>
  <sheetFormatPr defaultRowHeight="14.4" x14ac:dyDescent="0.3"/>
  <cols>
    <col min="3" max="3" width="18.21875" bestFit="1" customWidth="1"/>
    <col min="4" max="10" width="17.21875" bestFit="1" customWidth="1"/>
    <col min="11" max="11" width="22.109375" customWidth="1"/>
  </cols>
  <sheetData>
    <row r="1" spans="1:11" x14ac:dyDescent="0.3">
      <c r="A1" t="s">
        <v>68</v>
      </c>
      <c r="B1" t="s">
        <v>1</v>
      </c>
      <c r="C1" t="s">
        <v>182</v>
      </c>
      <c r="D1" t="s">
        <v>70</v>
      </c>
      <c r="E1" t="s">
        <v>131</v>
      </c>
      <c r="F1" t="s">
        <v>72</v>
      </c>
      <c r="G1" t="s">
        <v>132</v>
      </c>
      <c r="H1" t="s">
        <v>133</v>
      </c>
      <c r="I1" t="s">
        <v>183</v>
      </c>
      <c r="J1" t="s">
        <v>184</v>
      </c>
      <c r="K1" t="s">
        <v>187</v>
      </c>
    </row>
    <row r="2" spans="1:11" x14ac:dyDescent="0.3">
      <c r="A2">
        <v>1</v>
      </c>
      <c r="B2" t="s">
        <v>93</v>
      </c>
      <c r="C2" s="11">
        <v>17417207125.639999</v>
      </c>
      <c r="D2" s="11">
        <v>16344866725.370001</v>
      </c>
      <c r="E2" s="11">
        <v>15966974664.889999</v>
      </c>
      <c r="F2" s="11">
        <v>14878612407.1</v>
      </c>
      <c r="G2" s="11">
        <v>16999202203.25</v>
      </c>
      <c r="H2" s="11">
        <v>16091516086.860001</v>
      </c>
      <c r="I2" s="11">
        <v>19397132892.810001</v>
      </c>
      <c r="J2" s="11">
        <v>18498928176.209999</v>
      </c>
      <c r="K2" s="13">
        <f>SUM(D2,F2,H2,J2)</f>
        <v>65813923395.540001</v>
      </c>
    </row>
    <row r="3" spans="1:11" x14ac:dyDescent="0.3">
      <c r="A3">
        <v>2</v>
      </c>
      <c r="B3" t="s">
        <v>94</v>
      </c>
      <c r="C3" s="11">
        <v>18318809156.98</v>
      </c>
      <c r="D3" s="11">
        <v>17305983131.959999</v>
      </c>
      <c r="E3" s="11">
        <v>15088120952.48</v>
      </c>
      <c r="F3" s="11">
        <v>14130423661.67</v>
      </c>
      <c r="G3" s="11">
        <v>15758451627.040001</v>
      </c>
      <c r="H3" s="11">
        <v>15020950727.030001</v>
      </c>
      <c r="I3" s="11">
        <v>17749057618.560001</v>
      </c>
      <c r="J3" s="11">
        <v>17011556718.549999</v>
      </c>
      <c r="K3" s="13">
        <f t="shared" ref="K3:K38" si="0">SUM(D3,F3,H3,J3)</f>
        <v>63468914239.209991</v>
      </c>
    </row>
    <row r="4" spans="1:11" x14ac:dyDescent="0.3">
      <c r="A4">
        <v>3</v>
      </c>
      <c r="B4" t="s">
        <v>95</v>
      </c>
      <c r="C4" s="11">
        <v>36783820578.720001</v>
      </c>
      <c r="D4" s="11">
        <v>35221482486.410004</v>
      </c>
      <c r="E4" s="11">
        <v>40161627027.129997</v>
      </c>
      <c r="F4" s="11">
        <v>38650490615.040001</v>
      </c>
      <c r="G4" s="11">
        <v>46154111062.75</v>
      </c>
      <c r="H4" s="11">
        <v>44837062490.43</v>
      </c>
      <c r="I4" s="11">
        <v>54891456181.849998</v>
      </c>
      <c r="J4" s="11">
        <v>53584587922.209999</v>
      </c>
      <c r="K4" s="13">
        <f t="shared" si="0"/>
        <v>172293623514.09</v>
      </c>
    </row>
    <row r="5" spans="1:11" x14ac:dyDescent="0.3">
      <c r="A5">
        <v>4</v>
      </c>
      <c r="B5" t="s">
        <v>96</v>
      </c>
      <c r="C5" s="11">
        <v>18926816606.080002</v>
      </c>
      <c r="D5" s="11">
        <v>18387997901.900002</v>
      </c>
      <c r="E5" s="11">
        <v>16494376825.65</v>
      </c>
      <c r="F5" s="11">
        <v>15936904443.32</v>
      </c>
      <c r="G5" s="11">
        <v>17797268326.630001</v>
      </c>
      <c r="H5" s="11">
        <v>17459534839.43</v>
      </c>
      <c r="I5" s="11">
        <v>19822633778.310001</v>
      </c>
      <c r="J5" s="11">
        <v>19484900291.110001</v>
      </c>
      <c r="K5" s="13">
        <f t="shared" si="0"/>
        <v>71269337475.76001</v>
      </c>
    </row>
    <row r="6" spans="1:11" x14ac:dyDescent="0.3">
      <c r="A6">
        <v>5</v>
      </c>
      <c r="B6" t="s">
        <v>97</v>
      </c>
      <c r="C6" s="11">
        <v>19401435080.970001</v>
      </c>
      <c r="D6" s="11">
        <v>14245566138.6</v>
      </c>
      <c r="E6" s="11">
        <v>17048084868.969999</v>
      </c>
      <c r="F6" s="11">
        <v>11939085587.290001</v>
      </c>
      <c r="G6" s="11">
        <v>18519048299.110001</v>
      </c>
      <c r="H6" s="11">
        <v>13694932684.959999</v>
      </c>
      <c r="I6" s="11">
        <v>20305514682.130001</v>
      </c>
      <c r="J6" s="11">
        <v>15481399067.98</v>
      </c>
      <c r="K6" s="13">
        <f t="shared" si="0"/>
        <v>55360983478.830002</v>
      </c>
    </row>
    <row r="7" spans="1:11" x14ac:dyDescent="0.3">
      <c r="A7">
        <v>6</v>
      </c>
      <c r="B7" t="s">
        <v>98</v>
      </c>
      <c r="C7" s="11">
        <v>40660288262.599998</v>
      </c>
      <c r="D7" s="11">
        <v>39859899369.629997</v>
      </c>
      <c r="E7" s="11">
        <v>41075231222.330002</v>
      </c>
      <c r="F7" s="11">
        <v>39376503321.709999</v>
      </c>
      <c r="G7" s="11">
        <v>42722452873.629997</v>
      </c>
      <c r="H7" s="11">
        <v>41935608143.230003</v>
      </c>
      <c r="I7" s="11">
        <v>52806338235.089996</v>
      </c>
      <c r="J7" s="11">
        <v>52028452764.389999</v>
      </c>
      <c r="K7" s="13">
        <f t="shared" si="0"/>
        <v>173200463598.96002</v>
      </c>
    </row>
    <row r="8" spans="1:11" x14ac:dyDescent="0.3">
      <c r="A8">
        <v>7</v>
      </c>
      <c r="B8" t="s">
        <v>99</v>
      </c>
      <c r="C8" s="11">
        <v>18165098225.869999</v>
      </c>
      <c r="D8" s="11">
        <v>16933982441.790001</v>
      </c>
      <c r="E8" s="11">
        <v>16062115979.73</v>
      </c>
      <c r="F8" s="11">
        <v>15165152464.190001</v>
      </c>
      <c r="G8" s="11">
        <v>17440206095.259998</v>
      </c>
      <c r="H8" s="11">
        <v>16759632396.33</v>
      </c>
      <c r="I8" s="11">
        <v>20041719798.889999</v>
      </c>
      <c r="J8" s="11">
        <v>19372501657.73</v>
      </c>
      <c r="K8" s="13">
        <f t="shared" si="0"/>
        <v>68231268960.040009</v>
      </c>
    </row>
    <row r="9" spans="1:11" x14ac:dyDescent="0.3">
      <c r="A9">
        <v>8</v>
      </c>
      <c r="B9" t="s">
        <v>100</v>
      </c>
      <c r="C9" s="11">
        <v>20443398000.599998</v>
      </c>
      <c r="D9" s="11">
        <v>16457533312.280001</v>
      </c>
      <c r="E9" s="11">
        <v>18053399586.220001</v>
      </c>
      <c r="F9" s="11">
        <v>16856309207.84</v>
      </c>
      <c r="G9" s="11">
        <v>18714886547.27</v>
      </c>
      <c r="H9" s="11">
        <v>17792376524.73</v>
      </c>
      <c r="I9" s="11">
        <v>20949755585.889999</v>
      </c>
      <c r="J9" s="11">
        <v>20027245563.349998</v>
      </c>
      <c r="K9" s="13">
        <f t="shared" si="0"/>
        <v>71133464608.200012</v>
      </c>
    </row>
    <row r="10" spans="1:11" x14ac:dyDescent="0.3">
      <c r="A10">
        <v>9</v>
      </c>
      <c r="B10" t="s">
        <v>101</v>
      </c>
      <c r="C10" s="11">
        <v>16399691491.9</v>
      </c>
      <c r="D10" s="11">
        <v>12327279559.32</v>
      </c>
      <c r="E10" s="11">
        <v>14390884265.190001</v>
      </c>
      <c r="F10" s="11">
        <v>10176574637.92</v>
      </c>
      <c r="G10" s="11">
        <v>15777892319.93</v>
      </c>
      <c r="H10" s="11">
        <v>11459315691.33</v>
      </c>
      <c r="I10" s="11">
        <v>17066270304.34</v>
      </c>
      <c r="J10" s="11">
        <v>12757875724.51</v>
      </c>
      <c r="K10" s="13">
        <f t="shared" si="0"/>
        <v>46721045613.080002</v>
      </c>
    </row>
    <row r="11" spans="1:11" x14ac:dyDescent="0.3">
      <c r="A11">
        <v>10</v>
      </c>
      <c r="B11" t="s">
        <v>102</v>
      </c>
      <c r="C11" s="11">
        <v>48467158824.150002</v>
      </c>
      <c r="D11" s="11">
        <v>45442834316.07</v>
      </c>
      <c r="E11" s="11">
        <v>53174005855.25</v>
      </c>
      <c r="F11" s="11">
        <v>50819521193.830002</v>
      </c>
      <c r="G11" s="11">
        <v>55930676385.029999</v>
      </c>
      <c r="H11" s="11">
        <v>53772105465.370003</v>
      </c>
      <c r="I11" s="11">
        <v>69955557196.039993</v>
      </c>
      <c r="J11" s="11">
        <v>67807267304.610001</v>
      </c>
      <c r="K11" s="13">
        <f t="shared" si="0"/>
        <v>217841728279.88</v>
      </c>
    </row>
    <row r="12" spans="1:11" x14ac:dyDescent="0.3">
      <c r="A12">
        <v>11</v>
      </c>
      <c r="B12" t="s">
        <v>103</v>
      </c>
      <c r="C12" s="11">
        <v>15168863424.860001</v>
      </c>
      <c r="D12" s="11">
        <v>14097958961.870001</v>
      </c>
      <c r="E12" s="11">
        <v>13274238723.959999</v>
      </c>
      <c r="F12" s="11">
        <v>12159495238.139999</v>
      </c>
      <c r="G12" s="11">
        <v>14788757100.92</v>
      </c>
      <c r="H12" s="11">
        <v>13877449159.379999</v>
      </c>
      <c r="I12" s="11">
        <v>15595975330.190001</v>
      </c>
      <c r="J12" s="11">
        <v>14684667388.65</v>
      </c>
      <c r="K12" s="13">
        <f t="shared" si="0"/>
        <v>54819570748.040001</v>
      </c>
    </row>
    <row r="13" spans="1:11" x14ac:dyDescent="0.3">
      <c r="A13">
        <v>12</v>
      </c>
      <c r="B13" t="s">
        <v>104</v>
      </c>
      <c r="C13" s="11">
        <v>19605881271.02</v>
      </c>
      <c r="D13" s="11">
        <v>15744145529.059999</v>
      </c>
      <c r="E13" s="11">
        <v>18999525634.720001</v>
      </c>
      <c r="F13" s="11">
        <v>15279585454.059999</v>
      </c>
      <c r="G13" s="11">
        <v>18279329198.049999</v>
      </c>
      <c r="H13" s="11">
        <v>14739806574.860001</v>
      </c>
      <c r="I13" s="11">
        <v>20873115609.810001</v>
      </c>
      <c r="J13" s="11">
        <v>17343060816.610001</v>
      </c>
      <c r="K13" s="13">
        <f t="shared" si="0"/>
        <v>63106598374.589996</v>
      </c>
    </row>
    <row r="14" spans="1:11" x14ac:dyDescent="0.3">
      <c r="A14">
        <v>13</v>
      </c>
      <c r="B14" t="s">
        <v>105</v>
      </c>
      <c r="C14" s="11">
        <v>15542584690.82</v>
      </c>
      <c r="D14" s="11">
        <v>12900984284.59</v>
      </c>
      <c r="E14" s="11">
        <v>13548285088.24</v>
      </c>
      <c r="F14" s="11">
        <v>10906684235.08</v>
      </c>
      <c r="G14" s="11">
        <v>14571730180.77</v>
      </c>
      <c r="H14" s="11">
        <v>12127735192.139999</v>
      </c>
      <c r="I14" s="11">
        <v>16427844015.48</v>
      </c>
      <c r="J14" s="11">
        <v>13983849026.85</v>
      </c>
      <c r="K14" s="13">
        <f t="shared" si="0"/>
        <v>49919252738.659996</v>
      </c>
    </row>
    <row r="15" spans="1:11" x14ac:dyDescent="0.3">
      <c r="A15">
        <v>14</v>
      </c>
      <c r="B15" t="s">
        <v>106</v>
      </c>
      <c r="C15" s="11">
        <v>17470218361.34</v>
      </c>
      <c r="D15" s="11">
        <v>16357655816.16</v>
      </c>
      <c r="E15" s="11">
        <v>14694211349.540001</v>
      </c>
      <c r="F15" s="11">
        <v>13594807919.49</v>
      </c>
      <c r="G15" s="11">
        <v>15679296538.84</v>
      </c>
      <c r="H15" s="11">
        <v>13235301550.209999</v>
      </c>
      <c r="I15" s="11">
        <v>17299015569.470001</v>
      </c>
      <c r="J15" s="11">
        <v>16421866385.27</v>
      </c>
      <c r="K15" s="13">
        <f t="shared" si="0"/>
        <v>59609631671.130005</v>
      </c>
    </row>
    <row r="16" spans="1:11" x14ac:dyDescent="0.3">
      <c r="A16">
        <v>15</v>
      </c>
      <c r="B16" t="s">
        <v>107</v>
      </c>
      <c r="C16" s="11">
        <v>16329896604.6</v>
      </c>
      <c r="D16" s="11">
        <v>13387392823.57</v>
      </c>
      <c r="E16" s="11">
        <v>14229376213.200001</v>
      </c>
      <c r="F16" s="11">
        <v>11350017366.66</v>
      </c>
      <c r="G16" s="11">
        <v>15017478449.68</v>
      </c>
      <c r="H16" s="11">
        <v>12319863449.18</v>
      </c>
      <c r="I16" s="11">
        <v>17018214382.77</v>
      </c>
      <c r="J16" s="11">
        <v>14330136812.33</v>
      </c>
      <c r="K16" s="13">
        <f t="shared" si="0"/>
        <v>51387410451.740005</v>
      </c>
    </row>
    <row r="17" spans="1:11" x14ac:dyDescent="0.3">
      <c r="A17">
        <v>16</v>
      </c>
      <c r="B17" t="s">
        <v>108</v>
      </c>
      <c r="C17" s="11">
        <v>19336926478.139999</v>
      </c>
      <c r="D17" s="11">
        <v>16611616778.09</v>
      </c>
      <c r="E17" s="11">
        <v>17914617357.189999</v>
      </c>
      <c r="F17" s="11">
        <v>15555570533.219999</v>
      </c>
      <c r="G17" s="11">
        <v>18950078909.68</v>
      </c>
      <c r="H17" s="11">
        <v>16791645375.940001</v>
      </c>
      <c r="I17" s="11">
        <v>21829262082.599998</v>
      </c>
      <c r="J17" s="11">
        <v>19681356196.790001</v>
      </c>
      <c r="K17" s="13">
        <f t="shared" si="0"/>
        <v>68640188884.040001</v>
      </c>
    </row>
    <row r="18" spans="1:11" x14ac:dyDescent="0.3">
      <c r="A18">
        <v>17</v>
      </c>
      <c r="B18" t="s">
        <v>109</v>
      </c>
      <c r="C18" s="11">
        <v>20068647732.959999</v>
      </c>
      <c r="D18" s="11">
        <v>19662458877.060001</v>
      </c>
      <c r="E18" s="11">
        <v>17076015257.34</v>
      </c>
      <c r="F18" s="11">
        <v>16504661555.91</v>
      </c>
      <c r="G18" s="11">
        <v>17976336198.540001</v>
      </c>
      <c r="H18" s="11">
        <v>17652130231.919998</v>
      </c>
      <c r="I18" s="11">
        <v>19044553970.740002</v>
      </c>
      <c r="J18" s="11">
        <v>18720348004.119999</v>
      </c>
      <c r="K18" s="13">
        <f t="shared" si="0"/>
        <v>72539598669.009995</v>
      </c>
    </row>
    <row r="19" spans="1:11" x14ac:dyDescent="0.3">
      <c r="A19">
        <v>18</v>
      </c>
      <c r="B19" t="s">
        <v>110</v>
      </c>
      <c r="C19" s="11">
        <v>21097245598.09</v>
      </c>
      <c r="D19" s="11">
        <v>12054745984.09</v>
      </c>
      <c r="E19" s="11">
        <v>18853305572.34</v>
      </c>
      <c r="F19" s="11">
        <v>12488876703.74</v>
      </c>
      <c r="G19" s="11">
        <v>20315777205.099998</v>
      </c>
      <c r="H19" s="11">
        <v>14204157599</v>
      </c>
      <c r="I19" s="11">
        <v>22000416356.91</v>
      </c>
      <c r="J19" s="11">
        <v>15902063503.530001</v>
      </c>
      <c r="K19" s="13">
        <f t="shared" si="0"/>
        <v>54649843790.360001</v>
      </c>
    </row>
    <row r="20" spans="1:11" x14ac:dyDescent="0.3">
      <c r="A20">
        <v>19</v>
      </c>
      <c r="B20" t="s">
        <v>111</v>
      </c>
      <c r="C20" s="11">
        <v>27501009438.689999</v>
      </c>
      <c r="D20" s="11">
        <v>25705300156.18</v>
      </c>
      <c r="E20" s="11">
        <v>24573049816.459999</v>
      </c>
      <c r="F20" s="11">
        <v>22739963132.68</v>
      </c>
      <c r="G20" s="11">
        <v>25746616861.400002</v>
      </c>
      <c r="H20" s="11">
        <v>24380186078.740002</v>
      </c>
      <c r="I20" s="11">
        <v>28680388460.700001</v>
      </c>
      <c r="J20" s="11">
        <v>27313957678.040001</v>
      </c>
      <c r="K20" s="13">
        <f t="shared" si="0"/>
        <v>100139407045.64001</v>
      </c>
    </row>
    <row r="21" spans="1:11" x14ac:dyDescent="0.3">
      <c r="A21">
        <v>20</v>
      </c>
      <c r="B21" t="s">
        <v>112</v>
      </c>
      <c r="C21" s="11">
        <v>21670411032.130001</v>
      </c>
      <c r="D21" s="11">
        <v>18487422473.41</v>
      </c>
      <c r="E21" s="11">
        <v>17793579186.48</v>
      </c>
      <c r="F21" s="11">
        <v>14902676185.73</v>
      </c>
      <c r="G21" s="11">
        <v>19082509841.639999</v>
      </c>
      <c r="H21" s="11">
        <v>16463271116.299999</v>
      </c>
      <c r="I21" s="11">
        <v>21589304513.959999</v>
      </c>
      <c r="J21" s="11">
        <v>18970065788.619999</v>
      </c>
      <c r="K21" s="13">
        <f t="shared" si="0"/>
        <v>68823435564.059998</v>
      </c>
    </row>
    <row r="22" spans="1:11" x14ac:dyDescent="0.3">
      <c r="A22">
        <v>21</v>
      </c>
      <c r="B22" t="s">
        <v>113</v>
      </c>
      <c r="C22" s="11">
        <v>17438265169.07</v>
      </c>
      <c r="D22" s="11">
        <v>16630979179.82</v>
      </c>
      <c r="E22" s="11">
        <v>15476682365.08</v>
      </c>
      <c r="F22" s="11">
        <v>14577903439.41</v>
      </c>
      <c r="G22" s="11">
        <v>16509189555</v>
      </c>
      <c r="H22" s="11">
        <v>15814227565.690001</v>
      </c>
      <c r="I22" s="11">
        <v>17799514248.66</v>
      </c>
      <c r="J22" s="11">
        <v>17115244058.91</v>
      </c>
      <c r="K22" s="13">
        <f t="shared" si="0"/>
        <v>64138354243.830002</v>
      </c>
    </row>
    <row r="23" spans="1:11" x14ac:dyDescent="0.3">
      <c r="A23">
        <v>22</v>
      </c>
      <c r="B23" t="s">
        <v>114</v>
      </c>
      <c r="C23" s="11">
        <v>17415212317.189999</v>
      </c>
      <c r="D23" s="11">
        <v>15716154336.280001</v>
      </c>
      <c r="E23" s="11">
        <v>15590478800.459999</v>
      </c>
      <c r="F23" s="11">
        <v>13806647297.66</v>
      </c>
      <c r="G23" s="11">
        <v>18212303433.310001</v>
      </c>
      <c r="H23" s="11">
        <v>16449036427.42</v>
      </c>
      <c r="I23" s="11">
        <v>18485251514.689999</v>
      </c>
      <c r="J23" s="11">
        <v>16733175590.85</v>
      </c>
      <c r="K23" s="13">
        <f t="shared" si="0"/>
        <v>62705013652.209999</v>
      </c>
    </row>
    <row r="24" spans="1:11" x14ac:dyDescent="0.3">
      <c r="A24">
        <v>23</v>
      </c>
      <c r="B24" t="s">
        <v>115</v>
      </c>
      <c r="C24" s="11">
        <v>16913207620.219999</v>
      </c>
      <c r="D24" s="11">
        <v>15540116294.49</v>
      </c>
      <c r="E24" s="11">
        <v>13729819390.27</v>
      </c>
      <c r="F24" s="11">
        <v>12306569164.25</v>
      </c>
      <c r="G24" s="11">
        <v>14796429633.110001</v>
      </c>
      <c r="H24" s="11">
        <v>13544934722.370001</v>
      </c>
      <c r="I24" s="11">
        <v>16328777833.299999</v>
      </c>
      <c r="J24" s="11">
        <v>15086296181.290001</v>
      </c>
      <c r="K24" s="13">
        <f t="shared" si="0"/>
        <v>56477916362.400002</v>
      </c>
    </row>
    <row r="25" spans="1:11" x14ac:dyDescent="0.3">
      <c r="A25">
        <v>24</v>
      </c>
      <c r="B25" t="s">
        <v>116</v>
      </c>
      <c r="C25" s="11">
        <v>119779334977.55</v>
      </c>
      <c r="D25" s="11">
        <v>99981992508.169998</v>
      </c>
      <c r="E25" s="11">
        <v>62921067383.839996</v>
      </c>
      <c r="F25" s="11">
        <v>44400338638.029999</v>
      </c>
      <c r="G25" s="11">
        <v>58734930233.660004</v>
      </c>
      <c r="H25" s="11">
        <v>40510261526.68</v>
      </c>
      <c r="I25" s="11">
        <v>82933803297.789993</v>
      </c>
      <c r="J25" s="11">
        <v>64709134590.809998</v>
      </c>
      <c r="K25" s="13">
        <f t="shared" si="0"/>
        <v>249601727263.69</v>
      </c>
    </row>
    <row r="26" spans="1:11" x14ac:dyDescent="0.3">
      <c r="A26">
        <v>25</v>
      </c>
      <c r="B26" t="s">
        <v>117</v>
      </c>
      <c r="C26" s="11">
        <v>15662972825.93</v>
      </c>
      <c r="D26" s="11">
        <v>15234707348.959999</v>
      </c>
      <c r="E26" s="11">
        <v>13577249080.98</v>
      </c>
      <c r="F26" s="11">
        <v>13043030105.92</v>
      </c>
      <c r="G26" s="11">
        <v>15105355629.959999</v>
      </c>
      <c r="H26" s="11">
        <v>14749075530.6</v>
      </c>
      <c r="I26" s="11">
        <v>15697322278.889999</v>
      </c>
      <c r="J26" s="11">
        <v>15350379934.940001</v>
      </c>
      <c r="K26" s="13">
        <f t="shared" si="0"/>
        <v>58377192920.419998</v>
      </c>
    </row>
    <row r="27" spans="1:11" x14ac:dyDescent="0.3">
      <c r="A27">
        <v>26</v>
      </c>
      <c r="B27" t="s">
        <v>118</v>
      </c>
      <c r="C27" s="11">
        <v>18606094066.169998</v>
      </c>
      <c r="D27" s="11">
        <v>15960780425.08</v>
      </c>
      <c r="E27" s="11">
        <v>17092469902.690001</v>
      </c>
      <c r="F27" s="11">
        <v>14439873470.040001</v>
      </c>
      <c r="G27" s="11">
        <v>18172507090.369999</v>
      </c>
      <c r="H27" s="11">
        <v>15748539732.870001</v>
      </c>
      <c r="I27" s="11">
        <v>19574146138.299999</v>
      </c>
      <c r="J27" s="11">
        <v>17162172711.889999</v>
      </c>
      <c r="K27" s="13">
        <f t="shared" si="0"/>
        <v>63311366339.880005</v>
      </c>
    </row>
    <row r="28" spans="1:11" x14ac:dyDescent="0.3">
      <c r="A28">
        <v>27</v>
      </c>
      <c r="B28" t="s">
        <v>119</v>
      </c>
      <c r="C28" s="11">
        <v>17036577370.129999</v>
      </c>
      <c r="D28" s="11">
        <v>12946129371.75</v>
      </c>
      <c r="E28" s="11">
        <v>14578127886.209999</v>
      </c>
      <c r="F28" s="11">
        <v>10408436313.09</v>
      </c>
      <c r="G28" s="11">
        <v>16433302595.360001</v>
      </c>
      <c r="H28" s="11">
        <v>13357052015.23</v>
      </c>
      <c r="I28" s="11">
        <v>18402339572.880001</v>
      </c>
      <c r="J28" s="11">
        <v>15326088992.75</v>
      </c>
      <c r="K28" s="13">
        <f t="shared" si="0"/>
        <v>52037706692.82</v>
      </c>
    </row>
    <row r="29" spans="1:11" x14ac:dyDescent="0.3">
      <c r="A29">
        <v>28</v>
      </c>
      <c r="B29" t="s">
        <v>120</v>
      </c>
      <c r="C29" s="11">
        <v>20580597494.860001</v>
      </c>
      <c r="D29" s="11">
        <v>18981642755.740002</v>
      </c>
      <c r="E29" s="11">
        <v>17565594551.580002</v>
      </c>
      <c r="F29" s="11">
        <v>16206760847.030001</v>
      </c>
      <c r="G29" s="11">
        <v>18986011016.060001</v>
      </c>
      <c r="H29" s="11">
        <v>17706503309.080002</v>
      </c>
      <c r="I29" s="11">
        <v>22013253057.470001</v>
      </c>
      <c r="J29" s="11">
        <v>20788171093.970001</v>
      </c>
      <c r="K29" s="13">
        <f t="shared" si="0"/>
        <v>73683078005.820007</v>
      </c>
    </row>
    <row r="30" spans="1:11" x14ac:dyDescent="0.3">
      <c r="A30">
        <v>29</v>
      </c>
      <c r="B30" t="s">
        <v>121</v>
      </c>
      <c r="C30" s="11">
        <v>16397498101.01</v>
      </c>
      <c r="D30" s="11">
        <v>14351524380.709999</v>
      </c>
      <c r="E30" s="11">
        <v>14113955007.870001</v>
      </c>
      <c r="F30" s="11">
        <v>12013362124.540001</v>
      </c>
      <c r="G30" s="11">
        <v>15593356994.51</v>
      </c>
      <c r="H30" s="11">
        <v>13694321224.799999</v>
      </c>
      <c r="I30" s="11">
        <v>17106351144.92</v>
      </c>
      <c r="J30" s="11">
        <v>15207315375.209999</v>
      </c>
      <c r="K30" s="13">
        <f t="shared" si="0"/>
        <v>55266523105.260002</v>
      </c>
    </row>
    <row r="31" spans="1:11" x14ac:dyDescent="0.3">
      <c r="A31">
        <v>30</v>
      </c>
      <c r="B31" t="s">
        <v>122</v>
      </c>
      <c r="C31" s="11">
        <v>31203109284.209999</v>
      </c>
      <c r="D31" s="11">
        <v>28533191950.669998</v>
      </c>
      <c r="E31" s="11">
        <v>22164976698.959999</v>
      </c>
      <c r="F31" s="11">
        <v>19276302777.029999</v>
      </c>
      <c r="G31" s="11">
        <v>24147303751.450001</v>
      </c>
      <c r="H31" s="11">
        <v>21506505477.310001</v>
      </c>
      <c r="I31" s="11">
        <v>29230357240.540001</v>
      </c>
      <c r="J31" s="11">
        <v>26589558966.400002</v>
      </c>
      <c r="K31" s="13">
        <f t="shared" si="0"/>
        <v>95905559171.410004</v>
      </c>
    </row>
    <row r="32" spans="1:11" x14ac:dyDescent="0.3">
      <c r="A32">
        <v>31</v>
      </c>
      <c r="B32" t="s">
        <v>123</v>
      </c>
      <c r="C32" s="11">
        <v>17138623149.93</v>
      </c>
      <c r="D32" s="11">
        <v>14933518577.450001</v>
      </c>
      <c r="E32" s="11">
        <v>15279519760.58</v>
      </c>
      <c r="F32" s="11">
        <v>12973184996.540001</v>
      </c>
      <c r="G32" s="11">
        <v>16748242344.969999</v>
      </c>
      <c r="H32" s="11">
        <v>14643395890.67</v>
      </c>
      <c r="I32" s="11">
        <v>18212205910.880001</v>
      </c>
      <c r="J32" s="11">
        <v>16117933023.200001</v>
      </c>
      <c r="K32" s="13">
        <f t="shared" si="0"/>
        <v>58668032487.860001</v>
      </c>
    </row>
    <row r="33" spans="1:11" x14ac:dyDescent="0.3">
      <c r="A33">
        <v>32</v>
      </c>
      <c r="B33" t="s">
        <v>124</v>
      </c>
      <c r="C33" s="11">
        <v>43871777996.269997</v>
      </c>
      <c r="D33" s="11">
        <v>38781682477.559998</v>
      </c>
      <c r="E33" s="11">
        <v>53413222511.269997</v>
      </c>
      <c r="F33" s="11">
        <v>50089259078.949997</v>
      </c>
      <c r="G33" s="11">
        <v>49758768503.769997</v>
      </c>
      <c r="H33" s="11">
        <v>46642894818.57</v>
      </c>
      <c r="I33" s="11">
        <v>58178686905.110001</v>
      </c>
      <c r="J33" s="11">
        <v>55073733212.269997</v>
      </c>
      <c r="K33" s="13">
        <f t="shared" si="0"/>
        <v>190587569587.34998</v>
      </c>
    </row>
    <row r="34" spans="1:11" x14ac:dyDescent="0.3">
      <c r="A34">
        <v>33</v>
      </c>
      <c r="B34" t="s">
        <v>125</v>
      </c>
      <c r="C34" s="11">
        <v>18409238369.669998</v>
      </c>
      <c r="D34" s="11">
        <v>16872009181.799999</v>
      </c>
      <c r="E34" s="11">
        <v>16248622822.9</v>
      </c>
      <c r="F34" s="11">
        <v>14583078208.790001</v>
      </c>
      <c r="G34" s="11">
        <v>17489217658.560001</v>
      </c>
      <c r="H34" s="11">
        <v>14522766538.66</v>
      </c>
      <c r="I34" s="11">
        <v>19178477452.580002</v>
      </c>
      <c r="J34" s="11">
        <v>17616987565.73</v>
      </c>
      <c r="K34" s="13">
        <f t="shared" si="0"/>
        <v>63594841494.979996</v>
      </c>
    </row>
    <row r="35" spans="1:11" x14ac:dyDescent="0.3">
      <c r="A35">
        <v>34</v>
      </c>
      <c r="B35" t="s">
        <v>126</v>
      </c>
      <c r="C35" s="11">
        <v>15522568900.379999</v>
      </c>
      <c r="D35" s="11">
        <v>14827720200.58</v>
      </c>
      <c r="E35" s="11">
        <v>13969578120.809999</v>
      </c>
      <c r="F35" s="11">
        <v>13289795034.66</v>
      </c>
      <c r="G35" s="11">
        <v>15145774210.959999</v>
      </c>
      <c r="H35" s="11">
        <v>14651855087.42</v>
      </c>
      <c r="I35" s="11">
        <v>16649277559.360001</v>
      </c>
      <c r="J35" s="11">
        <v>16165112078.57</v>
      </c>
      <c r="K35" s="13">
        <f t="shared" si="0"/>
        <v>58934482401.229996</v>
      </c>
    </row>
    <row r="36" spans="1:11" x14ac:dyDescent="0.3">
      <c r="A36">
        <v>35</v>
      </c>
      <c r="B36" t="s">
        <v>127</v>
      </c>
      <c r="C36" s="11">
        <v>16103638382.190001</v>
      </c>
      <c r="D36" s="11">
        <v>15111526424.1</v>
      </c>
      <c r="E36" s="11">
        <v>14315256787.59</v>
      </c>
      <c r="F36" s="11">
        <v>13181343367.15</v>
      </c>
      <c r="G36" s="11">
        <v>15257895970.719999</v>
      </c>
      <c r="H36" s="11">
        <v>14343679248.950001</v>
      </c>
      <c r="I36" s="11">
        <v>17417189455.669998</v>
      </c>
      <c r="J36" s="11">
        <v>16502972733.9</v>
      </c>
      <c r="K36" s="13">
        <f t="shared" si="0"/>
        <v>59139521774.099998</v>
      </c>
    </row>
    <row r="37" spans="1:11" x14ac:dyDescent="0.3">
      <c r="A37">
        <v>36</v>
      </c>
      <c r="B37" t="s">
        <v>128</v>
      </c>
      <c r="C37" s="11">
        <v>17584729022.02</v>
      </c>
      <c r="D37" s="11">
        <v>16580468215.860001</v>
      </c>
      <c r="E37" s="11">
        <v>14601793250.690001</v>
      </c>
      <c r="F37" s="11">
        <v>13394837651.809999</v>
      </c>
      <c r="G37" s="11">
        <v>16664525400.67</v>
      </c>
      <c r="H37" s="11">
        <v>15677583879.15</v>
      </c>
      <c r="I37" s="11">
        <v>18085669340.830002</v>
      </c>
      <c r="J37" s="11">
        <v>17098727819.309999</v>
      </c>
      <c r="K37" s="13">
        <f t="shared" si="0"/>
        <v>62751617566.129997</v>
      </c>
    </row>
    <row r="38" spans="1:11" x14ac:dyDescent="0.3">
      <c r="A38">
        <v>37</v>
      </c>
      <c r="B38" t="s">
        <v>62</v>
      </c>
      <c r="C38" s="11"/>
      <c r="D38" s="11">
        <v>15764551134.690001</v>
      </c>
      <c r="E38" s="11"/>
      <c r="F38" s="11">
        <v>11418524386.23</v>
      </c>
      <c r="G38" s="11"/>
      <c r="H38" s="11">
        <v>23206445058.32</v>
      </c>
      <c r="I38" s="11"/>
      <c r="J38" s="11">
        <v>24284532336.32</v>
      </c>
      <c r="K38" s="13">
        <f t="shared" si="0"/>
        <v>74674052915.559998</v>
      </c>
    </row>
    <row r="39" spans="1:11" x14ac:dyDescent="0.3">
      <c r="K39" s="13">
        <f>SUM(K2:K38)</f>
        <v>3048824247085.8096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4918-D611-41E8-B116-3595EBC3608C}">
  <dimension ref="A1:A2"/>
  <sheetViews>
    <sheetView workbookViewId="0">
      <selection activeCell="A3" sqref="A3"/>
    </sheetView>
  </sheetViews>
  <sheetFormatPr defaultRowHeight="14.4" x14ac:dyDescent="0.3"/>
  <cols>
    <col min="1" max="1" width="19.5546875" bestFit="1" customWidth="1"/>
  </cols>
  <sheetData>
    <row r="1" spans="1:1" x14ac:dyDescent="0.3">
      <c r="A1" t="s">
        <v>188</v>
      </c>
    </row>
    <row r="2" spans="1:1" x14ac:dyDescent="0.3">
      <c r="A2" s="10">
        <f>SUM('2016'!AA39,'2017'!AA39,'2018'!AA39,'2019'!AA39,'2020'!AA39,'2021'!AA39,'2022'!AA39,'2023'!AA39,'2024'!AA39,'2025'!AA39,'2026'!K39)</f>
        <v>37837640188697.211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 Oluwafemi Akintayo</cp:lastModifiedBy>
  <dcterms:created xsi:type="dcterms:W3CDTF">2026-06-30T16:45:35Z</dcterms:created>
  <dcterms:modified xsi:type="dcterms:W3CDTF">2026-07-15T16:46:50Z</dcterms:modified>
</cp:coreProperties>
</file>